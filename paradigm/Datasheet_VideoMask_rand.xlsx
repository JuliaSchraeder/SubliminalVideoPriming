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01"/>
  <workbookPr/>
  <mc:AlternateContent xmlns:mc="http://schemas.openxmlformats.org/markup-compatibility/2006">
    <mc:Choice Requires="x15">
      <x15ac:absPath xmlns:x15ac="http://schemas.microsoft.com/office/spreadsheetml/2010/11/ac" url="/Users/julia/OneDrive - Uniklinik RWTH Aachen/Paradigmen/02_VideoMask/"/>
    </mc:Choice>
  </mc:AlternateContent>
  <xr:revisionPtr revIDLastSave="0" documentId="11_38FA46A007A1544FFB26E698F68ACB38646E4369" xr6:coauthVersionLast="47" xr6:coauthVersionMax="47" xr10:uidLastSave="{00000000-0000-0000-0000-000000000000}"/>
  <bookViews>
    <workbookView xWindow="2080" yWindow="1700" windowWidth="29180" windowHeight="16260" tabRatio="500" xr2:uid="{00000000-000D-0000-FFFF-FFFF00000000}"/>
  </bookViews>
  <sheets>
    <sheet name="Sheet1" sheetId="1" r:id="rId1"/>
  </sheets>
  <definedNames>
    <definedName name="_xlnm._FilterDatabase" localSheetId="0" hidden="1">Sheet1!$A$1:$M$61</definedName>
  </definedNames>
  <calcPr calcId="150001" calcCompleted="0" concurrentCalc="0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N50" i="1"/>
  <c r="N60" i="1"/>
  <c r="N54" i="1"/>
  <c r="N43" i="1"/>
  <c r="N14" i="1"/>
  <c r="N13" i="1"/>
  <c r="N9" i="1"/>
  <c r="N24" i="1"/>
  <c r="N36" i="1"/>
  <c r="N41" i="1"/>
  <c r="N51" i="1"/>
  <c r="N31" i="1"/>
  <c r="N49" i="1"/>
  <c r="N39" i="1"/>
  <c r="N57" i="1"/>
  <c r="N19" i="1"/>
  <c r="N2" i="1"/>
  <c r="N20" i="1"/>
  <c r="N25" i="1"/>
  <c r="N44" i="1"/>
  <c r="N29" i="1"/>
  <c r="N46" i="1"/>
  <c r="N37" i="1"/>
  <c r="N58" i="1"/>
  <c r="N5" i="1"/>
  <c r="N10" i="1"/>
  <c r="N48" i="1"/>
  <c r="N38" i="1"/>
  <c r="N17" i="1"/>
  <c r="N33" i="1"/>
  <c r="N21" i="1"/>
  <c r="N55" i="1"/>
  <c r="N61" i="1"/>
  <c r="N42" i="1"/>
  <c r="N32" i="1"/>
  <c r="N11" i="1"/>
  <c r="N18" i="1"/>
  <c r="N52" i="1"/>
  <c r="N47" i="1"/>
  <c r="N40" i="1"/>
  <c r="N30" i="1"/>
  <c r="N27" i="1"/>
  <c r="N56" i="1"/>
  <c r="N22" i="1"/>
  <c r="N3" i="1"/>
  <c r="N16" i="1"/>
  <c r="N59" i="1"/>
  <c r="N8" i="1"/>
  <c r="N26" i="1"/>
  <c r="N12" i="1"/>
  <c r="N23" i="1"/>
  <c r="N6" i="1"/>
  <c r="N45" i="1"/>
  <c r="N15" i="1"/>
  <c r="N53" i="1"/>
  <c r="N34" i="1"/>
  <c r="N28" i="1"/>
  <c r="N7" i="1"/>
  <c r="N35" i="1"/>
  <c r="N4" i="1"/>
  <c r="L59" i="1"/>
  <c r="L21" i="1"/>
  <c r="L8" i="1"/>
  <c r="L55" i="1"/>
  <c r="L26" i="1"/>
  <c r="L61" i="1"/>
  <c r="L57" i="1"/>
  <c r="L50" i="1"/>
  <c r="L12" i="1"/>
  <c r="L23" i="1"/>
  <c r="L60" i="1"/>
  <c r="L6" i="1"/>
  <c r="L42" i="1"/>
  <c r="L45" i="1"/>
  <c r="L32" i="1"/>
  <c r="L19" i="1"/>
  <c r="L2" i="1"/>
  <c r="L54" i="1"/>
  <c r="L15" i="1"/>
  <c r="L11" i="1"/>
  <c r="L43" i="1"/>
  <c r="L18" i="1"/>
  <c r="L52" i="1"/>
  <c r="L20" i="1"/>
  <c r="L14" i="1"/>
  <c r="L47" i="1"/>
  <c r="L53" i="1"/>
  <c r="L25" i="1"/>
  <c r="L13" i="1"/>
  <c r="L40" i="1"/>
  <c r="L9" i="1"/>
  <c r="L30" i="1"/>
  <c r="L44" i="1"/>
  <c r="L24" i="1"/>
  <c r="L34" i="1"/>
  <c r="L29" i="1"/>
  <c r="L28" i="1"/>
  <c r="L7" i="1"/>
  <c r="L36" i="1"/>
  <c r="L46" i="1"/>
  <c r="L37" i="1"/>
  <c r="L58" i="1"/>
  <c r="L5" i="1"/>
  <c r="L27" i="1"/>
  <c r="L41" i="1"/>
  <c r="L51" i="1"/>
  <c r="L56" i="1"/>
  <c r="L10" i="1"/>
  <c r="L48" i="1"/>
  <c r="L31" i="1"/>
  <c r="L49" i="1"/>
  <c r="L22" i="1"/>
  <c r="L35" i="1"/>
  <c r="L38" i="1"/>
  <c r="L39" i="1"/>
  <c r="L17" i="1"/>
  <c r="L33" i="1"/>
  <c r="L4" i="1"/>
  <c r="L16" i="1"/>
  <c r="L3" i="1"/>
  <c r="B23" i="1"/>
  <c r="B8" i="1"/>
  <c r="B35" i="1"/>
  <c r="B28" i="1"/>
  <c r="B12" i="1"/>
  <c r="B59" i="1"/>
  <c r="B7" i="1"/>
  <c r="B6" i="1"/>
  <c r="B34" i="1"/>
  <c r="B45" i="1"/>
  <c r="B26" i="1"/>
  <c r="B16" i="1"/>
  <c r="B3" i="1"/>
  <c r="B15" i="1"/>
  <c r="B37" i="1"/>
  <c r="B25" i="1"/>
  <c r="B44" i="1"/>
  <c r="B38" i="1"/>
  <c r="B29" i="1"/>
  <c r="B2" i="1"/>
  <c r="B20" i="1"/>
  <c r="B46" i="1"/>
  <c r="B10" i="1"/>
  <c r="B17" i="1"/>
  <c r="B19" i="1"/>
  <c r="B58" i="1"/>
  <c r="B57" i="1"/>
  <c r="B48" i="1"/>
  <c r="B5" i="1"/>
  <c r="B13" i="1"/>
  <c r="B54" i="1"/>
  <c r="B50" i="1"/>
  <c r="B36" i="1"/>
  <c r="B31" i="1"/>
  <c r="B49" i="1"/>
  <c r="B60" i="1"/>
  <c r="B14" i="1"/>
  <c r="B24" i="1"/>
  <c r="B43" i="1"/>
  <c r="B51" i="1"/>
  <c r="B41" i="1"/>
  <c r="B39" i="1"/>
  <c r="B4" i="1"/>
  <c r="B9" i="1"/>
  <c r="B21" i="1"/>
  <c r="B27" i="1"/>
  <c r="B55" i="1"/>
  <c r="B61" i="1"/>
  <c r="B11" i="1"/>
  <c r="B56" i="1"/>
  <c r="B52" i="1"/>
  <c r="B30" i="1"/>
  <c r="B22" i="1"/>
  <c r="B33" i="1"/>
  <c r="B47" i="1"/>
  <c r="B32" i="1"/>
  <c r="B40" i="1"/>
  <c r="B18" i="1"/>
  <c r="B42" i="1"/>
  <c r="B53" i="1"/>
  <c r="A53" i="1"/>
  <c r="A23" i="1"/>
  <c r="A8" i="1"/>
  <c r="A35" i="1"/>
  <c r="A28" i="1"/>
  <c r="A12" i="1"/>
  <c r="A59" i="1"/>
  <c r="A7" i="1"/>
  <c r="A6" i="1"/>
  <c r="A34" i="1"/>
  <c r="A45" i="1"/>
  <c r="A26" i="1"/>
  <c r="A16" i="1"/>
  <c r="A3" i="1"/>
  <c r="A15" i="1"/>
  <c r="A37" i="1"/>
  <c r="A25" i="1"/>
  <c r="A44" i="1"/>
  <c r="A38" i="1"/>
  <c r="A29" i="1"/>
  <c r="A2" i="1"/>
  <c r="A20" i="1"/>
  <c r="A46" i="1"/>
  <c r="A10" i="1"/>
  <c r="A17" i="1"/>
  <c r="A19" i="1"/>
  <c r="A58" i="1"/>
  <c r="A57" i="1"/>
  <c r="A48" i="1"/>
  <c r="A5" i="1"/>
  <c r="A13" i="1"/>
  <c r="A54" i="1"/>
  <c r="A50" i="1"/>
  <c r="A36" i="1"/>
  <c r="A31" i="1"/>
  <c r="A49" i="1"/>
  <c r="A60" i="1"/>
  <c r="A14" i="1"/>
  <c r="A24" i="1"/>
  <c r="A43" i="1"/>
  <c r="A51" i="1"/>
  <c r="A41" i="1"/>
  <c r="A39" i="1"/>
  <c r="A4" i="1"/>
  <c r="A9" i="1"/>
  <c r="A21" i="1"/>
  <c r="A27" i="1"/>
  <c r="A55" i="1"/>
  <c r="A61" i="1"/>
  <c r="A11" i="1"/>
  <c r="A56" i="1"/>
  <c r="A52" i="1"/>
  <c r="A30" i="1"/>
  <c r="A22" i="1"/>
  <c r="A33" i="1"/>
  <c r="A47" i="1"/>
  <c r="A32" i="1"/>
  <c r="A40" i="1"/>
  <c r="A18" i="1"/>
  <c r="A42" i="1"/>
  <c r="E53" i="1"/>
  <c r="E23" i="1"/>
  <c r="E8" i="1"/>
  <c r="E35" i="1"/>
  <c r="E28" i="1"/>
  <c r="E12" i="1"/>
  <c r="E59" i="1"/>
  <c r="E7" i="1"/>
  <c r="E6" i="1"/>
  <c r="E34" i="1"/>
  <c r="E45" i="1"/>
  <c r="E26" i="1"/>
  <c r="E16" i="1"/>
  <c r="E3" i="1"/>
  <c r="E15" i="1"/>
  <c r="E37" i="1"/>
  <c r="E25" i="1"/>
  <c r="E44" i="1"/>
  <c r="E38" i="1"/>
  <c r="E29" i="1"/>
  <c r="E2" i="1"/>
  <c r="E20" i="1"/>
  <c r="E46" i="1"/>
  <c r="E10" i="1"/>
  <c r="E17" i="1"/>
  <c r="E19" i="1"/>
  <c r="E58" i="1"/>
  <c r="E57" i="1"/>
  <c r="E48" i="1"/>
  <c r="E5" i="1"/>
  <c r="E54" i="1"/>
  <c r="E50" i="1"/>
  <c r="E36" i="1"/>
  <c r="E31" i="1"/>
  <c r="E61" i="1"/>
  <c r="E11" i="1"/>
  <c r="E56" i="1"/>
  <c r="E52" i="1"/>
  <c r="E30" i="1"/>
  <c r="E22" i="1"/>
  <c r="E33" i="1"/>
  <c r="E47" i="1"/>
  <c r="E32" i="1"/>
  <c r="E40" i="1"/>
  <c r="E18" i="1"/>
  <c r="E42" i="1"/>
  <c r="E49" i="1"/>
  <c r="E60" i="1"/>
  <c r="E14" i="1"/>
  <c r="E24" i="1"/>
  <c r="E43" i="1"/>
  <c r="E51" i="1"/>
  <c r="E41" i="1"/>
  <c r="E39" i="1"/>
  <c r="E4" i="1"/>
  <c r="E9" i="1"/>
  <c r="E21" i="1"/>
  <c r="E27" i="1"/>
  <c r="E55" i="1"/>
  <c r="E13" i="1"/>
  <c r="H39" i="1"/>
  <c r="H4" i="1"/>
  <c r="H9" i="1"/>
  <c r="H21" i="1"/>
  <c r="H27" i="1"/>
  <c r="H55" i="1"/>
  <c r="H61" i="1"/>
  <c r="H11" i="1"/>
  <c r="H56" i="1"/>
  <c r="H52" i="1"/>
  <c r="H30" i="1"/>
  <c r="H22" i="1"/>
  <c r="H33" i="1"/>
  <c r="H47" i="1"/>
  <c r="H32" i="1"/>
  <c r="H40" i="1"/>
  <c r="H18" i="1"/>
  <c r="H42" i="1"/>
  <c r="H10" i="1"/>
  <c r="H17" i="1"/>
  <c r="H19" i="1"/>
  <c r="H58" i="1"/>
  <c r="H57" i="1"/>
  <c r="H48" i="1"/>
  <c r="H5" i="1"/>
  <c r="H13" i="1"/>
  <c r="H54" i="1"/>
  <c r="H50" i="1"/>
  <c r="H36" i="1"/>
  <c r="H31" i="1"/>
  <c r="H49" i="1"/>
  <c r="H60" i="1"/>
  <c r="H14" i="1"/>
  <c r="H24" i="1"/>
  <c r="H43" i="1"/>
  <c r="H51" i="1"/>
  <c r="H41" i="1"/>
  <c r="H23" i="1"/>
  <c r="H8" i="1"/>
  <c r="H35" i="1"/>
  <c r="H28" i="1"/>
  <c r="H12" i="1"/>
  <c r="H59" i="1"/>
  <c r="H7" i="1"/>
  <c r="H6" i="1"/>
  <c r="H34" i="1"/>
  <c r="H45" i="1"/>
  <c r="H26" i="1"/>
  <c r="H16" i="1"/>
  <c r="H3" i="1"/>
  <c r="H15" i="1"/>
  <c r="H37" i="1"/>
  <c r="H25" i="1"/>
  <c r="H44" i="1"/>
  <c r="H38" i="1"/>
  <c r="H29" i="1"/>
  <c r="H2" i="1"/>
  <c r="H20" i="1"/>
  <c r="H46" i="1"/>
  <c r="H53" i="1"/>
  <c r="J2" i="1"/>
</calcChain>
</file>

<file path=xl/sharedStrings.xml><?xml version="1.0" encoding="utf-8"?>
<sst xmlns="http://schemas.openxmlformats.org/spreadsheetml/2006/main" count="374" uniqueCount="106">
  <si>
    <t>primePerson</t>
  </si>
  <si>
    <t>primeGender</t>
  </si>
  <si>
    <t>prime</t>
  </si>
  <si>
    <t>primeEmotion</t>
  </si>
  <si>
    <t>corrAnsPrime</t>
  </si>
  <si>
    <t>target</t>
  </si>
  <si>
    <t>targetEmotion</t>
  </si>
  <si>
    <t>corrAnsTar</t>
  </si>
  <si>
    <t>Cond</t>
  </si>
  <si>
    <t>ID_Primer</t>
  </si>
  <si>
    <t>ID_Target</t>
  </si>
  <si>
    <t>JitterTime</t>
  </si>
  <si>
    <t>Condition</t>
  </si>
  <si>
    <t>rand</t>
  </si>
  <si>
    <t>019_m_f_h_a.jpg</t>
  </si>
  <si>
    <t>happy</t>
  </si>
  <si>
    <t>sad_115.1.wmv</t>
  </si>
  <si>
    <t>sad</t>
  </si>
  <si>
    <t>incongruent</t>
  </si>
  <si>
    <t>h_s</t>
  </si>
  <si>
    <t>033_o_m_s_a.jpg</t>
  </si>
  <si>
    <t>sad_94.2ns.avi</t>
  </si>
  <si>
    <t>congruent</t>
  </si>
  <si>
    <t>s_s</t>
  </si>
  <si>
    <t>008_y_m_h_a.jpg</t>
  </si>
  <si>
    <t>happy_26.1ns.avi</t>
  </si>
  <si>
    <t>h_h</t>
  </si>
  <si>
    <t>040_y_f_h_a.jpg</t>
  </si>
  <si>
    <t>sad_138.1.wmv</t>
  </si>
  <si>
    <t>028_y_f_s_a.jpg</t>
  </si>
  <si>
    <t>sad_64.2ns.avi</t>
  </si>
  <si>
    <t>027_o_m_s_a.jpg</t>
  </si>
  <si>
    <t>sad_10.4ns.avi</t>
  </si>
  <si>
    <t>012_o_f_s_a.jpg</t>
  </si>
  <si>
    <t>sad_7.5ns.avi</t>
  </si>
  <si>
    <t>012_o_f_h_a.jpg</t>
  </si>
  <si>
    <t>happy_27.1ns.avi</t>
  </si>
  <si>
    <t>028_y_f_h_a.jpg</t>
  </si>
  <si>
    <t>sad_119.1.wmv</t>
  </si>
  <si>
    <t>016_y_m_s_a.jpg</t>
  </si>
  <si>
    <t>happy_60.4ns.avi</t>
  </si>
  <si>
    <t>s_h</t>
  </si>
  <si>
    <t>019_m_f_s_a.jpg</t>
  </si>
  <si>
    <t>sad_8.4ns.avi</t>
  </si>
  <si>
    <t>004_o_m_h_a.jpg</t>
  </si>
  <si>
    <t>happy_1.1ns.avi</t>
  </si>
  <si>
    <t>027_o_m_h_a.jpg</t>
  </si>
  <si>
    <t>happy_20.1ns.avi</t>
  </si>
  <si>
    <t>040_y_f_s_a.jpg</t>
  </si>
  <si>
    <t>sad_94.3ns.avi</t>
  </si>
  <si>
    <t>030_o_f_s_a.jpg</t>
  </si>
  <si>
    <t>sad_68.1ns.avi</t>
  </si>
  <si>
    <t>030_o_f_h_a.jpg</t>
  </si>
  <si>
    <t>sad_127.1.wmv</t>
  </si>
  <si>
    <t>008_y_m_s_a.jpg</t>
  </si>
  <si>
    <t>happy_133.3.wmv</t>
  </si>
  <si>
    <t>033_o_m_h_a.jpg</t>
  </si>
  <si>
    <t>sad_128.1.wmv</t>
  </si>
  <si>
    <t>021_o_f_h_a.jpg</t>
  </si>
  <si>
    <t>sad_116.1.wmv</t>
  </si>
  <si>
    <t>004_o_m_s_a.jpg</t>
  </si>
  <si>
    <t>happy_28.1ns.avi</t>
  </si>
  <si>
    <t>happy_122.3.wmv</t>
  </si>
  <si>
    <t>sad_6.5ns.avi</t>
  </si>
  <si>
    <t>happy_23.1ns.avi</t>
  </si>
  <si>
    <t>sad_111.1.wmv</t>
  </si>
  <si>
    <t>sad_67.2ns.avi</t>
  </si>
  <si>
    <t>happy_29.1ns.avi</t>
  </si>
  <si>
    <t>sad_8.3ns.avi</t>
  </si>
  <si>
    <t>016_y_m_h_a.jpg</t>
  </si>
  <si>
    <t>sad_114.1.wmv</t>
  </si>
  <si>
    <t>happy_117.3.wmv</t>
  </si>
  <si>
    <t>happy_9.2ns.avi</t>
  </si>
  <si>
    <t>happy_127.3.wmv</t>
  </si>
  <si>
    <t>happy_125.3.wmv</t>
  </si>
  <si>
    <t>sad_64.3ns.avi</t>
  </si>
  <si>
    <t>013_y_m_s_a.jpg</t>
  </si>
  <si>
    <t>sad_7.7ns.avi</t>
  </si>
  <si>
    <t>013_y_m_h_a.jpg</t>
  </si>
  <si>
    <t>happy_9.1ns.avi</t>
  </si>
  <si>
    <t>sad_95.1ns.avi</t>
  </si>
  <si>
    <t>sad_113.2.wmv</t>
  </si>
  <si>
    <t>happy_25.1ns.avi</t>
  </si>
  <si>
    <t>happy_131.2.wmv</t>
  </si>
  <si>
    <t>happy_24.3ns.avi</t>
  </si>
  <si>
    <t>happy_139.1.wmv</t>
  </si>
  <si>
    <t>happy_24.1ns.avi</t>
  </si>
  <si>
    <t>sad_113.1.wmv</t>
  </si>
  <si>
    <t>sad_64.5ns.avi</t>
  </si>
  <si>
    <t>sad_117.1.wmv</t>
  </si>
  <si>
    <t>happy_126.3.wmv</t>
  </si>
  <si>
    <t>sad_136.1.wmv</t>
  </si>
  <si>
    <t>happy_10.1ns.avi</t>
  </si>
  <si>
    <t>happy_2.2ns.avi</t>
  </si>
  <si>
    <t>happy_24.2ns.avi</t>
  </si>
  <si>
    <t>021_o_f_s_a.jpg</t>
  </si>
  <si>
    <t>happy_61.2ns.avi</t>
  </si>
  <si>
    <t>sad_2.4ns.avi</t>
  </si>
  <si>
    <t>happy_1.2ns.avi</t>
  </si>
  <si>
    <t>happy_52.2ns.avi</t>
  </si>
  <si>
    <t>happy_61.1ns.avi</t>
  </si>
  <si>
    <t>sad_133.1.wmv</t>
  </si>
  <si>
    <t>sad_128.2.wmv</t>
  </si>
  <si>
    <t>sad_9.5ns.avi</t>
  </si>
  <si>
    <t>happy_12.1ns.avi</t>
  </si>
  <si>
    <t>happy_56.2ns.avi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</si>
</sst>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4" fillId="0" borderId="0" xfId="0" applyFont="1"/>
    <xf numFmtId="0" fontId="4" fillId="2" borderId="0" xfId="0" applyFont="1" applyFill="1"/>
    <xf numFmtId="0" fontId="0" fillId="2" borderId="0" xfId="0" applyFill="1"/>
  </cellXfs>
  <cellStyles count="29">
    <cellStyle name="Besuchter Hyperlink" xfId="20" builtinId="9" hidden="1"/>
    <cellStyle name="Besuchter Hyperlink" xfId="22" builtinId="9" hidden="1"/>
    <cellStyle name="Besuchter Hyperlink" xfId="24" builtinId="9" hidden="1"/>
    <cellStyle name="Besuchter Hyperlink" xfId="28" builtinId="9" hidden="1"/>
    <cellStyle name="Besuchter Hyperlink" xfId="26" builtinId="9" hidden="1"/>
    <cellStyle name="Besuchter Hyperlink" xfId="18" builtinId="9" hidden="1"/>
    <cellStyle name="Besuchter Hyperlink" xfId="8" builtinId="9" hidden="1"/>
    <cellStyle name="Besuchter Hyperlink" xfId="12" builtinId="9" hidden="1"/>
    <cellStyle name="Besuchter Hyperlink" xfId="14" builtinId="9" hidden="1"/>
    <cellStyle name="Besuchter Hyperlink" xfId="16" builtinId="9" hidden="1"/>
    <cellStyle name="Besuchter Hyperlink" xfId="10" builtinId="9" hidden="1"/>
    <cellStyle name="Besuchter Hyperlink" xfId="4" builtinId="9" hidden="1"/>
    <cellStyle name="Besuchter Hyperlink" xfId="6" builtinId="9" hidden="1"/>
    <cellStyle name="Besuchter Hyperlink" xfId="2" builtinId="9" hidden="1"/>
    <cellStyle name="Link" xfId="15" builtinId="8" hidden="1"/>
    <cellStyle name="Link" xfId="17" builtinId="8" hidden="1"/>
    <cellStyle name="Link" xfId="19" builtinId="8" hidden="1"/>
    <cellStyle name="Link" xfId="21" builtinId="8" hidden="1"/>
    <cellStyle name="Link" xfId="23" builtinId="8" hidden="1"/>
    <cellStyle name="Link" xfId="25" builtinId="8" hidden="1"/>
    <cellStyle name="Link" xfId="27" builtinId="8" hidden="1"/>
    <cellStyle name="Link" xfId="13" builtinId="8" hidden="1"/>
    <cellStyle name="Link" xfId="7" builtinId="8" hidden="1"/>
    <cellStyle name="Link" xfId="9" builtinId="8" hidden="1"/>
    <cellStyle name="Link" xfId="11" builtinId="8" hidden="1"/>
    <cellStyle name="Link" xfId="3" builtinId="8" hidden="1"/>
    <cellStyle name="Link" xfId="5" builtinId="8" hidden="1"/>
    <cellStyle name="Link" xfId="1" builtinId="8" hidden="1"/>
    <cellStyle name="Standard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1"/>
  <sheetViews>
    <sheetView tabSelected="1" topLeftCell="A45" workbookViewId="0">
      <selection activeCell="K2" sqref="K2:K61"/>
    </sheetView>
  </sheetViews>
  <sheetFormatPr defaultColWidth="11" defaultRowHeight="15.95"/>
  <cols>
    <col min="1" max="1" width="13.5" customWidth="1"/>
    <col min="2" max="2" width="13.625" customWidth="1"/>
    <col min="3" max="3" width="21.875" customWidth="1"/>
    <col min="4" max="4" width="15.625" customWidth="1"/>
    <col min="5" max="5" width="12.875" customWidth="1"/>
    <col min="6" max="6" width="30.875" customWidth="1"/>
    <col min="7" max="7" width="14.5" customWidth="1"/>
    <col min="9" max="9" width="21.625" customWidth="1"/>
    <col min="10" max="10" width="23.875" customWidth="1"/>
    <col min="11" max="11" width="15.5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2" t="str">
        <f>MID(C2,3,1)</f>
        <v>9</v>
      </c>
      <c r="B2" s="2" t="str">
        <f>MID(C2,7,1)</f>
        <v>f</v>
      </c>
      <c r="C2" s="2" t="s">
        <v>14</v>
      </c>
      <c r="D2" s="2" t="s">
        <v>15</v>
      </c>
      <c r="E2" t="str">
        <f>IF(D2="sad","7",IF(D2="happy","9","8"))</f>
        <v>9</v>
      </c>
      <c r="F2" s="2" t="s">
        <v>16</v>
      </c>
      <c r="G2" t="s">
        <v>17</v>
      </c>
      <c r="H2" t="str">
        <f>IF(G2="sad","7",IF(G2="happy","9","8"))</f>
        <v>7</v>
      </c>
      <c r="I2" t="s">
        <v>18</v>
      </c>
      <c r="J2" t="str">
        <f>IF(D2="happy","120", IF(D2="sad","130","140"))</f>
        <v>120</v>
      </c>
      <c r="K2" t="str">
        <f>IF(G2="happy","150", IF(G2="sad","160","170"))</f>
        <v>160</v>
      </c>
      <c r="L2">
        <f ca="1">RAND()*(240-120)+120</f>
        <v>163.48012680469304</v>
      </c>
      <c r="M2" t="s">
        <v>19</v>
      </c>
      <c r="N2">
        <f ca="1">RAND()</f>
        <v>0.11181608234041085</v>
      </c>
    </row>
    <row r="3" spans="1:14">
      <c r="A3" s="2" t="str">
        <f>MID(C3,3,1)</f>
        <v>3</v>
      </c>
      <c r="B3" s="2" t="str">
        <f>MID(C3,7,1)</f>
        <v>m</v>
      </c>
      <c r="C3" s="4" t="s">
        <v>20</v>
      </c>
      <c r="D3" s="2" t="s">
        <v>17</v>
      </c>
      <c r="E3" t="str">
        <f>IF(D3="sad","7",IF(D3="happy","9","8"))</f>
        <v>7</v>
      </c>
      <c r="F3" s="2" t="s">
        <v>21</v>
      </c>
      <c r="G3" t="s">
        <v>17</v>
      </c>
      <c r="H3" t="str">
        <f>IF(G3="sad","7",IF(G3="happy","9","8"))</f>
        <v>7</v>
      </c>
      <c r="I3" t="s">
        <v>22</v>
      </c>
      <c r="J3" t="str">
        <f t="shared" ref="J3:J61" si="0">IF(D3="happy","120", IF(D3="sad","130","140"))</f>
        <v>130</v>
      </c>
      <c r="K3" t="str">
        <f t="shared" ref="K3:K61" si="1">IF(G3="happy","150", IF(G3="sad","160","170"))</f>
        <v>160</v>
      </c>
      <c r="L3">
        <f ca="1">RAND()*(240-120)+120</f>
        <v>201.4055140478892</v>
      </c>
      <c r="M3" t="s">
        <v>23</v>
      </c>
      <c r="N3">
        <f ca="1">RAND()</f>
        <v>0.21907736959117119</v>
      </c>
    </row>
    <row r="4" spans="1:14">
      <c r="A4" s="2" t="str">
        <f>MID(C4,3,1)</f>
        <v>8</v>
      </c>
      <c r="B4" s="2" t="str">
        <f>MID(C4,7,1)</f>
        <v>m</v>
      </c>
      <c r="C4" s="3" t="s">
        <v>24</v>
      </c>
      <c r="D4" s="2" t="s">
        <v>15</v>
      </c>
      <c r="E4" t="str">
        <f>IF(D4="sad","7",IF(D4="happy","9","8"))</f>
        <v>9</v>
      </c>
      <c r="F4" t="s">
        <v>25</v>
      </c>
      <c r="G4" s="2" t="s">
        <v>15</v>
      </c>
      <c r="H4" t="str">
        <f>IF(G4="sad","7",IF(G4="happy","9","8"))</f>
        <v>9</v>
      </c>
      <c r="I4" t="s">
        <v>22</v>
      </c>
      <c r="J4" t="str">
        <f t="shared" si="0"/>
        <v>120</v>
      </c>
      <c r="K4" t="str">
        <f t="shared" si="1"/>
        <v>150</v>
      </c>
      <c r="L4">
        <f ca="1">RAND()*(240-120)+120</f>
        <v>196.33123233850506</v>
      </c>
      <c r="M4" t="s">
        <v>26</v>
      </c>
      <c r="N4">
        <f ca="1">RAND()</f>
        <v>0.77636396062723634</v>
      </c>
    </row>
    <row r="5" spans="1:14">
      <c r="A5" s="2" t="str">
        <f>MID(C5,3,1)</f>
        <v>0</v>
      </c>
      <c r="B5" s="2" t="str">
        <f>MID(C5,7,1)</f>
        <v>f</v>
      </c>
      <c r="C5" s="4" t="s">
        <v>27</v>
      </c>
      <c r="D5" s="2" t="s">
        <v>15</v>
      </c>
      <c r="E5" t="str">
        <f>IF(D5="sad","7",IF(D5="happy","9","8"))</f>
        <v>9</v>
      </c>
      <c r="F5" s="2" t="s">
        <v>28</v>
      </c>
      <c r="G5" t="s">
        <v>17</v>
      </c>
      <c r="H5" t="str">
        <f>IF(G5="sad","7",IF(G5="happy","9","8"))</f>
        <v>7</v>
      </c>
      <c r="I5" t="s">
        <v>18</v>
      </c>
      <c r="J5" t="str">
        <f t="shared" si="0"/>
        <v>120</v>
      </c>
      <c r="K5" t="str">
        <f t="shared" si="1"/>
        <v>160</v>
      </c>
      <c r="L5">
        <f ca="1">RAND()*(240-120)+120</f>
        <v>175.72742512661307</v>
      </c>
      <c r="M5" t="s">
        <v>19</v>
      </c>
      <c r="N5">
        <f ca="1">RAND()</f>
        <v>0.8463321647029024</v>
      </c>
    </row>
    <row r="6" spans="1:14">
      <c r="A6" s="2" t="str">
        <f>MID(C6,3,1)</f>
        <v>8</v>
      </c>
      <c r="B6" s="2" t="str">
        <f>MID(C6,7,1)</f>
        <v>f</v>
      </c>
      <c r="C6" t="s">
        <v>29</v>
      </c>
      <c r="D6" s="2" t="s">
        <v>17</v>
      </c>
      <c r="E6" t="str">
        <f>IF(D6="sad","7",IF(D6="happy","9","8"))</f>
        <v>7</v>
      </c>
      <c r="F6" s="2" t="s">
        <v>30</v>
      </c>
      <c r="G6" t="s">
        <v>17</v>
      </c>
      <c r="H6" t="str">
        <f>IF(G6="sad","7",IF(G6="happy","9","8"))</f>
        <v>7</v>
      </c>
      <c r="I6" t="s">
        <v>22</v>
      </c>
      <c r="J6" t="str">
        <f t="shared" si="0"/>
        <v>130</v>
      </c>
      <c r="K6" t="str">
        <f t="shared" si="1"/>
        <v>160</v>
      </c>
      <c r="L6">
        <f ca="1">RAND()*(240-120)+120</f>
        <v>148.00080860870816</v>
      </c>
      <c r="M6" t="s">
        <v>23</v>
      </c>
      <c r="N6">
        <f ca="1">RAND()</f>
        <v>0.28656512786612864</v>
      </c>
    </row>
    <row r="7" spans="1:14">
      <c r="A7" s="2" t="str">
        <f>MID(C7,3,1)</f>
        <v>7</v>
      </c>
      <c r="B7" s="2" t="str">
        <f>MID(C7,7,1)</f>
        <v>m</v>
      </c>
      <c r="C7" t="s">
        <v>31</v>
      </c>
      <c r="D7" s="2" t="s">
        <v>17</v>
      </c>
      <c r="E7" t="str">
        <f>IF(D7="sad","7",IF(D7="happy","9","8"))</f>
        <v>7</v>
      </c>
      <c r="F7" s="2" t="s">
        <v>32</v>
      </c>
      <c r="G7" t="s">
        <v>17</v>
      </c>
      <c r="H7" t="str">
        <f>IF(G7="sad","7",IF(G7="happy","9","8"))</f>
        <v>7</v>
      </c>
      <c r="I7" t="s">
        <v>22</v>
      </c>
      <c r="J7" t="str">
        <f t="shared" si="0"/>
        <v>130</v>
      </c>
      <c r="K7" t="str">
        <f t="shared" si="1"/>
        <v>160</v>
      </c>
      <c r="L7">
        <f ca="1">RAND()*(240-120)+120</f>
        <v>188.15124920295375</v>
      </c>
      <c r="M7" t="s">
        <v>23</v>
      </c>
      <c r="N7">
        <f ca="1">RAND()</f>
        <v>0.6912337310293537</v>
      </c>
    </row>
    <row r="8" spans="1:14">
      <c r="A8" s="2" t="str">
        <f>MID(C8,3,1)</f>
        <v>2</v>
      </c>
      <c r="B8" s="2" t="str">
        <f>MID(C8,7,1)</f>
        <v>f</v>
      </c>
      <c r="C8" t="s">
        <v>33</v>
      </c>
      <c r="D8" s="2" t="s">
        <v>17</v>
      </c>
      <c r="E8" t="str">
        <f>IF(D8="sad","7",IF(D8="happy","9","8"))</f>
        <v>7</v>
      </c>
      <c r="F8" s="2" t="s">
        <v>34</v>
      </c>
      <c r="G8" t="s">
        <v>17</v>
      </c>
      <c r="H8" t="str">
        <f>IF(G8="sad","7",IF(G8="happy","9","8"))</f>
        <v>7</v>
      </c>
      <c r="I8" t="s">
        <v>22</v>
      </c>
      <c r="J8" t="str">
        <f t="shared" si="0"/>
        <v>130</v>
      </c>
      <c r="K8" t="str">
        <f t="shared" si="1"/>
        <v>160</v>
      </c>
      <c r="L8">
        <f ca="1">RAND()*(240-120)+120</f>
        <v>139.40549350083913</v>
      </c>
      <c r="M8" t="s">
        <v>23</v>
      </c>
      <c r="N8">
        <f ca="1">RAND()</f>
        <v>0.43890550201626499</v>
      </c>
    </row>
    <row r="9" spans="1:14">
      <c r="A9" s="2" t="str">
        <f>MID(C9,3,1)</f>
        <v>2</v>
      </c>
      <c r="B9" s="2" t="str">
        <f>MID(C9,7,1)</f>
        <v>f</v>
      </c>
      <c r="C9" s="3" t="s">
        <v>35</v>
      </c>
      <c r="D9" s="2" t="s">
        <v>15</v>
      </c>
      <c r="E9" t="str">
        <f>IF(D9="sad","7",IF(D9="happy","9","8"))</f>
        <v>9</v>
      </c>
      <c r="F9" t="s">
        <v>36</v>
      </c>
      <c r="G9" s="2" t="s">
        <v>15</v>
      </c>
      <c r="H9" t="str">
        <f>IF(G9="sad","7",IF(G9="happy","9","8"))</f>
        <v>9</v>
      </c>
      <c r="I9" t="s">
        <v>22</v>
      </c>
      <c r="J9" t="str">
        <f t="shared" si="0"/>
        <v>120</v>
      </c>
      <c r="K9" t="str">
        <f t="shared" si="1"/>
        <v>150</v>
      </c>
      <c r="L9">
        <f ca="1">RAND()*(240-120)+120</f>
        <v>156.45914810307971</v>
      </c>
      <c r="M9" t="s">
        <v>26</v>
      </c>
      <c r="N9">
        <f ca="1">RAND()</f>
        <v>0.56029937254367823</v>
      </c>
    </row>
    <row r="10" spans="1:14">
      <c r="A10" s="2" t="str">
        <f>MID(C10,3,1)</f>
        <v>8</v>
      </c>
      <c r="B10" s="2" t="str">
        <f>MID(C10,7,1)</f>
        <v>f</v>
      </c>
      <c r="C10" t="s">
        <v>37</v>
      </c>
      <c r="D10" s="2" t="s">
        <v>15</v>
      </c>
      <c r="E10" t="str">
        <f>IF(D10="sad","7",IF(D10="happy","9","8"))</f>
        <v>9</v>
      </c>
      <c r="F10" s="2" t="s">
        <v>38</v>
      </c>
      <c r="G10" t="s">
        <v>17</v>
      </c>
      <c r="H10" t="str">
        <f>IF(G10="sad","7",IF(G10="happy","9","8"))</f>
        <v>7</v>
      </c>
      <c r="I10" t="s">
        <v>18</v>
      </c>
      <c r="J10" t="str">
        <f t="shared" si="0"/>
        <v>120</v>
      </c>
      <c r="K10" t="str">
        <f t="shared" si="1"/>
        <v>160</v>
      </c>
      <c r="L10">
        <f ca="1">RAND()*(240-120)+120</f>
        <v>151.62580083896472</v>
      </c>
      <c r="M10" t="s">
        <v>19</v>
      </c>
      <c r="N10">
        <f ca="1">RAND()</f>
        <v>0.15639966818279594</v>
      </c>
    </row>
    <row r="11" spans="1:14">
      <c r="A11" s="2" t="str">
        <f>MID(C11,3,1)</f>
        <v>6</v>
      </c>
      <c r="B11" s="2" t="str">
        <f>MID(C11,7,1)</f>
        <v>m</v>
      </c>
      <c r="C11" t="s">
        <v>39</v>
      </c>
      <c r="D11" s="2" t="s">
        <v>17</v>
      </c>
      <c r="E11" t="str">
        <f>IF(D11="sad","7",IF(D11="happy","9","8"))</f>
        <v>7</v>
      </c>
      <c r="F11" t="s">
        <v>40</v>
      </c>
      <c r="G11" s="2" t="s">
        <v>15</v>
      </c>
      <c r="H11" t="str">
        <f>IF(G11="sad","7",IF(G11="happy","9","8"))</f>
        <v>9</v>
      </c>
      <c r="I11" t="s">
        <v>18</v>
      </c>
      <c r="J11" t="str">
        <f t="shared" si="0"/>
        <v>130</v>
      </c>
      <c r="K11" t="str">
        <f t="shared" si="1"/>
        <v>150</v>
      </c>
      <c r="L11">
        <f ca="1">RAND()*(240-120)+120</f>
        <v>221.30676847770218</v>
      </c>
      <c r="M11" t="s">
        <v>41</v>
      </c>
      <c r="N11">
        <f ca="1">RAND()</f>
        <v>0.5693723723850832</v>
      </c>
    </row>
    <row r="12" spans="1:14">
      <c r="A12" s="2" t="str">
        <f>MID(C12,3,1)</f>
        <v>9</v>
      </c>
      <c r="B12" s="2" t="str">
        <f>MID(C12,7,1)</f>
        <v>f</v>
      </c>
      <c r="C12" t="s">
        <v>42</v>
      </c>
      <c r="D12" s="2" t="s">
        <v>17</v>
      </c>
      <c r="E12" t="str">
        <f>IF(D12="sad","7",IF(D12="happy","9","8"))</f>
        <v>7</v>
      </c>
      <c r="F12" s="2" t="s">
        <v>43</v>
      </c>
      <c r="G12" t="s">
        <v>17</v>
      </c>
      <c r="H12" t="str">
        <f>IF(G12="sad","7",IF(G12="happy","9","8"))</f>
        <v>7</v>
      </c>
      <c r="I12" t="s">
        <v>22</v>
      </c>
      <c r="J12" t="str">
        <f t="shared" si="0"/>
        <v>130</v>
      </c>
      <c r="K12" t="str">
        <f t="shared" si="1"/>
        <v>160</v>
      </c>
      <c r="L12">
        <f ca="1">RAND()*(240-120)+120</f>
        <v>128.63976773002804</v>
      </c>
      <c r="M12" t="s">
        <v>23</v>
      </c>
      <c r="N12">
        <f ca="1">RAND()</f>
        <v>9.5639513912589624E-2</v>
      </c>
    </row>
    <row r="13" spans="1:14">
      <c r="A13" s="2" t="str">
        <f>MID(C13,3,1)</f>
        <v>4</v>
      </c>
      <c r="B13" s="2" t="str">
        <f>MID(C13,7,1)</f>
        <v>m</v>
      </c>
      <c r="C13" s="2" t="s">
        <v>44</v>
      </c>
      <c r="D13" s="2" t="s">
        <v>15</v>
      </c>
      <c r="E13" t="str">
        <f>IF(D13="sad","7",IF(D13="happy","9","8"))</f>
        <v>9</v>
      </c>
      <c r="F13" s="2" t="s">
        <v>45</v>
      </c>
      <c r="G13" s="2" t="s">
        <v>15</v>
      </c>
      <c r="H13" t="str">
        <f>IF(G13="sad","7",IF(G13="happy","9","8"))</f>
        <v>9</v>
      </c>
      <c r="I13" t="s">
        <v>22</v>
      </c>
      <c r="J13" t="str">
        <f t="shared" si="0"/>
        <v>120</v>
      </c>
      <c r="K13" t="str">
        <f t="shared" si="1"/>
        <v>150</v>
      </c>
      <c r="L13">
        <f ca="1">RAND()*(240-120)+120</f>
        <v>238.2750440661398</v>
      </c>
      <c r="M13" t="s">
        <v>26</v>
      </c>
      <c r="N13">
        <f ca="1">RAND()</f>
        <v>1.3859819805166373E-2</v>
      </c>
    </row>
    <row r="14" spans="1:14">
      <c r="A14" s="2" t="str">
        <f>MID(C14,3,1)</f>
        <v>7</v>
      </c>
      <c r="B14" s="2" t="str">
        <f>MID(C14,7,1)</f>
        <v>m</v>
      </c>
      <c r="C14" t="s">
        <v>46</v>
      </c>
      <c r="D14" s="2" t="s">
        <v>15</v>
      </c>
      <c r="E14" t="str">
        <f>IF(D14="sad","7",IF(D14="happy","9","8"))</f>
        <v>9</v>
      </c>
      <c r="F14" t="s">
        <v>47</v>
      </c>
      <c r="G14" s="2" t="s">
        <v>15</v>
      </c>
      <c r="H14" t="str">
        <f>IF(G14="sad","7",IF(G14="happy","9","8"))</f>
        <v>9</v>
      </c>
      <c r="I14" t="s">
        <v>22</v>
      </c>
      <c r="J14" t="str">
        <f t="shared" si="0"/>
        <v>120</v>
      </c>
      <c r="K14" t="str">
        <f t="shared" si="1"/>
        <v>150</v>
      </c>
      <c r="L14">
        <f ca="1">RAND()*(240-120)+120</f>
        <v>137.40626472614042</v>
      </c>
      <c r="M14" t="s">
        <v>26</v>
      </c>
      <c r="N14">
        <f ca="1">RAND()</f>
        <v>6.4056950031235904E-2</v>
      </c>
    </row>
    <row r="15" spans="1:14">
      <c r="A15" s="2" t="str">
        <f>MID(C15,3,1)</f>
        <v>0</v>
      </c>
      <c r="B15" s="2" t="str">
        <f>MID(C15,7,1)</f>
        <v>f</v>
      </c>
      <c r="C15" s="4" t="s">
        <v>48</v>
      </c>
      <c r="D15" s="2" t="s">
        <v>17</v>
      </c>
      <c r="E15" t="str">
        <f>IF(D15="sad","7",IF(D15="happy","9","8"))</f>
        <v>7</v>
      </c>
      <c r="F15" s="2" t="s">
        <v>49</v>
      </c>
      <c r="G15" t="s">
        <v>17</v>
      </c>
      <c r="H15" t="str">
        <f>IF(G15="sad","7",IF(G15="happy","9","8"))</f>
        <v>7</v>
      </c>
      <c r="I15" t="s">
        <v>22</v>
      </c>
      <c r="J15" t="str">
        <f t="shared" si="0"/>
        <v>130</v>
      </c>
      <c r="K15" t="str">
        <f t="shared" si="1"/>
        <v>160</v>
      </c>
      <c r="L15">
        <f ca="1">RAND()*(240-120)+120</f>
        <v>207.44826136184389</v>
      </c>
      <c r="M15" t="s">
        <v>23</v>
      </c>
      <c r="N15">
        <f ca="1">RAND()</f>
        <v>0.69867689711405823</v>
      </c>
    </row>
    <row r="16" spans="1:14">
      <c r="A16" s="2" t="str">
        <f>MID(C16,3,1)</f>
        <v>0</v>
      </c>
      <c r="B16" s="2" t="str">
        <f>MID(C16,7,1)</f>
        <v>f</v>
      </c>
      <c r="C16" s="4" t="s">
        <v>50</v>
      </c>
      <c r="D16" s="2" t="s">
        <v>17</v>
      </c>
      <c r="E16" t="str">
        <f>IF(D16="sad","7",IF(D16="happy","9","8"))</f>
        <v>7</v>
      </c>
      <c r="F16" s="2" t="s">
        <v>51</v>
      </c>
      <c r="G16" t="s">
        <v>17</v>
      </c>
      <c r="H16" t="str">
        <f>IF(G16="sad","7",IF(G16="happy","9","8"))</f>
        <v>7</v>
      </c>
      <c r="I16" t="s">
        <v>22</v>
      </c>
      <c r="J16" t="str">
        <f t="shared" si="0"/>
        <v>130</v>
      </c>
      <c r="K16" t="str">
        <f t="shared" si="1"/>
        <v>160</v>
      </c>
      <c r="L16">
        <f ca="1">RAND()*(240-120)+120</f>
        <v>220.64105576595705</v>
      </c>
      <c r="M16" t="s">
        <v>23</v>
      </c>
      <c r="N16">
        <f ca="1">RAND()</f>
        <v>0.79434733544131619</v>
      </c>
    </row>
    <row r="17" spans="1:14">
      <c r="A17" s="2" t="str">
        <f>MID(C17,3,1)</f>
        <v>0</v>
      </c>
      <c r="B17" s="2" t="str">
        <f>MID(C17,7,1)</f>
        <v>f</v>
      </c>
      <c r="C17" t="s">
        <v>52</v>
      </c>
      <c r="D17" s="2" t="s">
        <v>15</v>
      </c>
      <c r="E17" t="str">
        <f>IF(D17="sad","7",IF(D17="happy","9","8"))</f>
        <v>9</v>
      </c>
      <c r="F17" s="2" t="s">
        <v>53</v>
      </c>
      <c r="G17" t="s">
        <v>17</v>
      </c>
      <c r="H17" t="str">
        <f>IF(G17="sad","7",IF(G17="happy","9","8"))</f>
        <v>7</v>
      </c>
      <c r="I17" t="s">
        <v>18</v>
      </c>
      <c r="J17" t="str">
        <f t="shared" si="0"/>
        <v>120</v>
      </c>
      <c r="K17" t="str">
        <f t="shared" si="1"/>
        <v>160</v>
      </c>
      <c r="L17">
        <f ca="1">RAND()*(240-120)+120</f>
        <v>154.14260188033998</v>
      </c>
      <c r="M17" t="s">
        <v>19</v>
      </c>
      <c r="N17">
        <f ca="1">RAND()</f>
        <v>0.91343811998519719</v>
      </c>
    </row>
    <row r="18" spans="1:14">
      <c r="A18" s="2" t="str">
        <f>MID(C18,3,1)</f>
        <v>8</v>
      </c>
      <c r="B18" s="2" t="str">
        <f>MID(C18,7,1)</f>
        <v>m</v>
      </c>
      <c r="C18" s="4" t="s">
        <v>54</v>
      </c>
      <c r="D18" s="2" t="s">
        <v>17</v>
      </c>
      <c r="E18" t="str">
        <f>IF(D18="sad","7",IF(D18="happy","9","8"))</f>
        <v>7</v>
      </c>
      <c r="F18" t="s">
        <v>55</v>
      </c>
      <c r="G18" s="2" t="s">
        <v>15</v>
      </c>
      <c r="H18" t="str">
        <f>IF(G18="sad","7",IF(G18="happy","9","8"))</f>
        <v>9</v>
      </c>
      <c r="I18" t="s">
        <v>18</v>
      </c>
      <c r="J18" t="str">
        <f t="shared" si="0"/>
        <v>130</v>
      </c>
      <c r="K18" t="str">
        <f t="shared" si="1"/>
        <v>150</v>
      </c>
      <c r="L18">
        <f ca="1">RAND()*(240-120)+120</f>
        <v>198.77256716131055</v>
      </c>
      <c r="M18" t="s">
        <v>41</v>
      </c>
      <c r="N18">
        <f ca="1">RAND()</f>
        <v>0.54656194778412259</v>
      </c>
    </row>
    <row r="19" spans="1:14">
      <c r="A19" s="2" t="str">
        <f>MID(C19,3,1)</f>
        <v>3</v>
      </c>
      <c r="B19" s="2" t="str">
        <f>MID(C19,7,1)</f>
        <v>m</v>
      </c>
      <c r="C19" t="s">
        <v>56</v>
      </c>
      <c r="D19" s="2" t="s">
        <v>15</v>
      </c>
      <c r="E19" t="str">
        <f>IF(D19="sad","7",IF(D19="happy","9","8"))</f>
        <v>9</v>
      </c>
      <c r="F19" s="2" t="s">
        <v>57</v>
      </c>
      <c r="G19" t="s">
        <v>17</v>
      </c>
      <c r="H19" t="str">
        <f>IF(G19="sad","7",IF(G19="happy","9","8"))</f>
        <v>7</v>
      </c>
      <c r="I19" t="s">
        <v>18</v>
      </c>
      <c r="J19" t="str">
        <f t="shared" si="0"/>
        <v>120</v>
      </c>
      <c r="K19" t="str">
        <f t="shared" si="1"/>
        <v>160</v>
      </c>
      <c r="L19">
        <f ca="1">RAND()*(240-120)+120</f>
        <v>192.8330528295416</v>
      </c>
      <c r="M19" t="s">
        <v>19</v>
      </c>
      <c r="N19">
        <f ca="1">RAND()</f>
        <v>0.6553909983861621</v>
      </c>
    </row>
    <row r="20" spans="1:14">
      <c r="A20" s="2" t="str">
        <f>MID(C20,3,1)</f>
        <v>1</v>
      </c>
      <c r="B20" s="2" t="str">
        <f>MID(C20,7,1)</f>
        <v>f</v>
      </c>
      <c r="C20" t="s">
        <v>58</v>
      </c>
      <c r="D20" s="2" t="s">
        <v>15</v>
      </c>
      <c r="E20" t="str">
        <f>IF(D20="sad","7",IF(D20="happy","9","8"))</f>
        <v>9</v>
      </c>
      <c r="F20" s="2" t="s">
        <v>59</v>
      </c>
      <c r="G20" t="s">
        <v>17</v>
      </c>
      <c r="H20" t="str">
        <f>IF(G20="sad","7",IF(G20="happy","9","8"))</f>
        <v>7</v>
      </c>
      <c r="I20" t="s">
        <v>18</v>
      </c>
      <c r="J20" t="str">
        <f t="shared" si="0"/>
        <v>120</v>
      </c>
      <c r="K20" t="str">
        <f t="shared" si="1"/>
        <v>160</v>
      </c>
      <c r="L20">
        <f ca="1">RAND()*(240-120)+120</f>
        <v>229.53567954657291</v>
      </c>
      <c r="M20" t="s">
        <v>19</v>
      </c>
      <c r="N20">
        <f ca="1">RAND()</f>
        <v>0.60678925378724369</v>
      </c>
    </row>
    <row r="21" spans="1:14">
      <c r="A21" s="2" t="str">
        <f>MID(C21,3,1)</f>
        <v>4</v>
      </c>
      <c r="B21" s="2" t="str">
        <f>MID(C21,7,1)</f>
        <v>m</v>
      </c>
      <c r="C21" t="s">
        <v>60</v>
      </c>
      <c r="D21" s="2" t="s">
        <v>17</v>
      </c>
      <c r="E21" t="str">
        <f>IF(D21="sad","7",IF(D21="happy","9","8"))</f>
        <v>7</v>
      </c>
      <c r="F21" t="s">
        <v>61</v>
      </c>
      <c r="G21" s="2" t="s">
        <v>15</v>
      </c>
      <c r="H21" t="str">
        <f>IF(G21="sad","7",IF(G21="happy","9","8"))</f>
        <v>9</v>
      </c>
      <c r="I21" t="s">
        <v>18</v>
      </c>
      <c r="J21" t="str">
        <f t="shared" si="0"/>
        <v>130</v>
      </c>
      <c r="K21" t="str">
        <f t="shared" si="1"/>
        <v>150</v>
      </c>
      <c r="L21">
        <f ca="1">RAND()*(240-120)+120</f>
        <v>186.31810779310655</v>
      </c>
      <c r="M21" t="s">
        <v>41</v>
      </c>
      <c r="N21">
        <f ca="1">RAND()</f>
        <v>5.3120863044850974E-2</v>
      </c>
    </row>
    <row r="22" spans="1:14">
      <c r="A22" s="2" t="str">
        <f>MID(C22,3,1)</f>
        <v>8</v>
      </c>
      <c r="B22" s="2" t="str">
        <f>MID(C22,7,1)</f>
        <v>f</v>
      </c>
      <c r="C22" t="s">
        <v>29</v>
      </c>
      <c r="D22" s="2" t="s">
        <v>17</v>
      </c>
      <c r="E22" t="str">
        <f>IF(D22="sad","7",IF(D22="happy","9","8"))</f>
        <v>7</v>
      </c>
      <c r="F22" t="s">
        <v>62</v>
      </c>
      <c r="G22" s="2" t="s">
        <v>15</v>
      </c>
      <c r="H22" t="str">
        <f>IF(G22="sad","7",IF(G22="happy","9","8"))</f>
        <v>9</v>
      </c>
      <c r="I22" t="s">
        <v>18</v>
      </c>
      <c r="J22" t="str">
        <f t="shared" si="0"/>
        <v>130</v>
      </c>
      <c r="K22" t="str">
        <f t="shared" si="1"/>
        <v>150</v>
      </c>
      <c r="L22">
        <f ca="1">RAND()*(240-120)+120</f>
        <v>137.25369345189381</v>
      </c>
      <c r="M22" t="s">
        <v>41</v>
      </c>
      <c r="N22">
        <f ca="1">RAND()</f>
        <v>0.51762891833614</v>
      </c>
    </row>
    <row r="23" spans="1:14">
      <c r="A23" s="2" t="str">
        <f>MID(C23,3,1)</f>
        <v>8</v>
      </c>
      <c r="B23" s="2" t="str">
        <f>MID(C23,7,1)</f>
        <v>m</v>
      </c>
      <c r="C23" t="s">
        <v>54</v>
      </c>
      <c r="D23" s="2" t="s">
        <v>17</v>
      </c>
      <c r="E23" t="str">
        <f>IF(D23="sad","7",IF(D23="happy","9","8"))</f>
        <v>7</v>
      </c>
      <c r="F23" s="2" t="s">
        <v>63</v>
      </c>
      <c r="G23" t="s">
        <v>17</v>
      </c>
      <c r="H23" t="str">
        <f>IF(G23="sad","7",IF(G23="happy","9","8"))</f>
        <v>7</v>
      </c>
      <c r="I23" t="s">
        <v>22</v>
      </c>
      <c r="J23" t="str">
        <f t="shared" si="0"/>
        <v>130</v>
      </c>
      <c r="K23" t="str">
        <f t="shared" si="1"/>
        <v>160</v>
      </c>
      <c r="L23">
        <f ca="1">RAND()*(240-120)+120</f>
        <v>203.4584585397611</v>
      </c>
      <c r="M23" t="s">
        <v>23</v>
      </c>
      <c r="N23">
        <f ca="1">RAND()</f>
        <v>0.3331187881362595</v>
      </c>
    </row>
    <row r="24" spans="1:14">
      <c r="A24" s="2" t="str">
        <f>MID(C24,3,1)</f>
        <v>8</v>
      </c>
      <c r="B24" s="2" t="str">
        <f>MID(C24,7,1)</f>
        <v>f</v>
      </c>
      <c r="C24" t="s">
        <v>37</v>
      </c>
      <c r="D24" s="2" t="s">
        <v>15</v>
      </c>
      <c r="E24" t="str">
        <f>IF(D24="sad","7",IF(D24="happy","9","8"))</f>
        <v>9</v>
      </c>
      <c r="F24" t="s">
        <v>64</v>
      </c>
      <c r="G24" s="2" t="s">
        <v>15</v>
      </c>
      <c r="H24" t="str">
        <f>IF(G24="sad","7",IF(G24="happy","9","8"))</f>
        <v>9</v>
      </c>
      <c r="I24" t="s">
        <v>22</v>
      </c>
      <c r="J24" t="str">
        <f t="shared" si="0"/>
        <v>120</v>
      </c>
      <c r="K24" t="str">
        <f t="shared" si="1"/>
        <v>150</v>
      </c>
      <c r="L24">
        <f ca="1">RAND()*(240-120)+120</f>
        <v>216.1277576190825</v>
      </c>
      <c r="M24" t="s">
        <v>26</v>
      </c>
      <c r="N24">
        <f ca="1">RAND()</f>
        <v>0.73622562405933833</v>
      </c>
    </row>
    <row r="25" spans="1:14">
      <c r="A25" s="2" t="str">
        <f>MID(C25,3,1)</f>
        <v>8</v>
      </c>
      <c r="B25" s="2" t="str">
        <f>MID(C25,7,1)</f>
        <v>m</v>
      </c>
      <c r="C25" s="2" t="s">
        <v>24</v>
      </c>
      <c r="D25" s="2" t="s">
        <v>15</v>
      </c>
      <c r="E25" t="str">
        <f>IF(D25="sad","7",IF(D25="happy","9","8"))</f>
        <v>9</v>
      </c>
      <c r="F25" s="2" t="s">
        <v>65</v>
      </c>
      <c r="G25" t="s">
        <v>17</v>
      </c>
      <c r="H25" t="str">
        <f>IF(G25="sad","7",IF(G25="happy","9","8"))</f>
        <v>7</v>
      </c>
      <c r="I25" t="s">
        <v>18</v>
      </c>
      <c r="J25" t="str">
        <f t="shared" si="0"/>
        <v>120</v>
      </c>
      <c r="K25" t="str">
        <f t="shared" si="1"/>
        <v>160</v>
      </c>
      <c r="L25">
        <f ca="1">RAND()*(240-120)+120</f>
        <v>156.89130460566307</v>
      </c>
      <c r="M25" t="s">
        <v>19</v>
      </c>
      <c r="N25">
        <f ca="1">RAND()</f>
        <v>5.6511267120753494E-3</v>
      </c>
    </row>
    <row r="26" spans="1:14">
      <c r="A26" s="2" t="str">
        <f>MID(C26,3,1)</f>
        <v>0</v>
      </c>
      <c r="B26" s="2" t="str">
        <f>MID(C26,7,1)</f>
        <v>f</v>
      </c>
      <c r="C26" t="s">
        <v>48</v>
      </c>
      <c r="D26" s="2" t="s">
        <v>17</v>
      </c>
      <c r="E26" t="str">
        <f>IF(D26="sad","7",IF(D26="happy","9","8"))</f>
        <v>7</v>
      </c>
      <c r="F26" s="2" t="s">
        <v>66</v>
      </c>
      <c r="G26" t="s">
        <v>17</v>
      </c>
      <c r="H26" t="str">
        <f>IF(G26="sad","7",IF(G26="happy","9","8"))</f>
        <v>7</v>
      </c>
      <c r="I26" t="s">
        <v>22</v>
      </c>
      <c r="J26" t="str">
        <f t="shared" si="0"/>
        <v>130</v>
      </c>
      <c r="K26" t="str">
        <f t="shared" si="1"/>
        <v>160</v>
      </c>
      <c r="L26">
        <f ca="1">RAND()*(240-120)+120</f>
        <v>209.83866263146803</v>
      </c>
      <c r="M26" t="s">
        <v>23</v>
      </c>
      <c r="N26">
        <f ca="1">RAND()</f>
        <v>0.96103162636931738</v>
      </c>
    </row>
    <row r="27" spans="1:14">
      <c r="A27" s="2" t="str">
        <f>MID(C27,3,1)</f>
        <v>8</v>
      </c>
      <c r="B27" s="2" t="str">
        <f>MID(C27,7,1)</f>
        <v>m</v>
      </c>
      <c r="C27" t="s">
        <v>54</v>
      </c>
      <c r="D27" s="2" t="s">
        <v>17</v>
      </c>
      <c r="E27" t="str">
        <f>IF(D27="sad","7",IF(D27="happy","9","8"))</f>
        <v>7</v>
      </c>
      <c r="F27" t="s">
        <v>67</v>
      </c>
      <c r="G27" s="2" t="s">
        <v>15</v>
      </c>
      <c r="H27" t="str">
        <f>IF(G27="sad","7",IF(G27="happy","9","8"))</f>
        <v>9</v>
      </c>
      <c r="I27" t="s">
        <v>18</v>
      </c>
      <c r="J27" t="str">
        <f t="shared" si="0"/>
        <v>130</v>
      </c>
      <c r="K27" t="str">
        <f t="shared" si="1"/>
        <v>150</v>
      </c>
      <c r="L27">
        <f ca="1">RAND()*(240-120)+120</f>
        <v>163.85547271564485</v>
      </c>
      <c r="M27" t="s">
        <v>41</v>
      </c>
      <c r="N27">
        <f ca="1">RAND()</f>
        <v>0.81615236963864579</v>
      </c>
    </row>
    <row r="28" spans="1:14">
      <c r="A28" s="2" t="str">
        <f>MID(C28,3,1)</f>
        <v>6</v>
      </c>
      <c r="B28" s="2" t="str">
        <f>MID(C28,7,1)</f>
        <v>m</v>
      </c>
      <c r="C28" t="s">
        <v>39</v>
      </c>
      <c r="D28" s="2" t="s">
        <v>17</v>
      </c>
      <c r="E28" t="str">
        <f>IF(D28="sad","7",IF(D28="happy","9","8"))</f>
        <v>7</v>
      </c>
      <c r="F28" s="2" t="s">
        <v>68</v>
      </c>
      <c r="G28" t="s">
        <v>17</v>
      </c>
      <c r="H28" t="str">
        <f>IF(G28="sad","7",IF(G28="happy","9","8"))</f>
        <v>7</v>
      </c>
      <c r="I28" t="s">
        <v>22</v>
      </c>
      <c r="J28" t="str">
        <f t="shared" si="0"/>
        <v>130</v>
      </c>
      <c r="K28" t="str">
        <f t="shared" si="1"/>
        <v>160</v>
      </c>
      <c r="L28">
        <f ca="1">RAND()*(240-120)+120</f>
        <v>130.72982647170221</v>
      </c>
      <c r="M28" t="s">
        <v>23</v>
      </c>
      <c r="N28">
        <f ca="1">RAND()</f>
        <v>0.39399618893916188</v>
      </c>
    </row>
    <row r="29" spans="1:14">
      <c r="A29" s="2" t="str">
        <f>MID(C29,3,1)</f>
        <v>6</v>
      </c>
      <c r="B29" s="2" t="str">
        <f>MID(C29,7,1)</f>
        <v>m</v>
      </c>
      <c r="C29" s="2" t="s">
        <v>69</v>
      </c>
      <c r="D29" s="2" t="s">
        <v>15</v>
      </c>
      <c r="E29" t="str">
        <f>IF(D29="sad","7",IF(D29="happy","9","8"))</f>
        <v>9</v>
      </c>
      <c r="F29" s="2" t="s">
        <v>70</v>
      </c>
      <c r="G29" t="s">
        <v>17</v>
      </c>
      <c r="H29" t="str">
        <f>IF(G29="sad","7",IF(G29="happy","9","8"))</f>
        <v>7</v>
      </c>
      <c r="I29" t="s">
        <v>18</v>
      </c>
      <c r="J29" t="str">
        <f t="shared" si="0"/>
        <v>120</v>
      </c>
      <c r="K29" t="str">
        <f t="shared" si="1"/>
        <v>160</v>
      </c>
      <c r="L29">
        <f ca="1">RAND()*(240-120)+120</f>
        <v>180.02789444665586</v>
      </c>
      <c r="M29" t="s">
        <v>19</v>
      </c>
      <c r="N29">
        <f ca="1">RAND()</f>
        <v>0.59225928576608822</v>
      </c>
    </row>
    <row r="30" spans="1:14">
      <c r="A30" s="2" t="str">
        <f>MID(C30,3,1)</f>
        <v>7</v>
      </c>
      <c r="B30" s="2" t="str">
        <f>MID(C30,7,1)</f>
        <v>m</v>
      </c>
      <c r="C30" t="s">
        <v>31</v>
      </c>
      <c r="D30" s="2" t="s">
        <v>17</v>
      </c>
      <c r="E30" t="str">
        <f>IF(D30="sad","7",IF(D30="happy","9","8"))</f>
        <v>7</v>
      </c>
      <c r="F30" t="s">
        <v>71</v>
      </c>
      <c r="G30" s="2" t="s">
        <v>15</v>
      </c>
      <c r="H30" t="str">
        <f>IF(G30="sad","7",IF(G30="happy","9","8"))</f>
        <v>9</v>
      </c>
      <c r="I30" t="s">
        <v>18</v>
      </c>
      <c r="J30" t="str">
        <f t="shared" si="0"/>
        <v>130</v>
      </c>
      <c r="K30" t="str">
        <f t="shared" si="1"/>
        <v>150</v>
      </c>
      <c r="L30">
        <f ca="1">RAND()*(240-120)+120</f>
        <v>188.21813405006412</v>
      </c>
      <c r="M30" t="s">
        <v>41</v>
      </c>
      <c r="N30">
        <f ca="1">RAND()</f>
        <v>0.89295949248395845</v>
      </c>
    </row>
    <row r="31" spans="1:14">
      <c r="A31" s="2" t="str">
        <f>MID(C31,3,1)</f>
        <v>6</v>
      </c>
      <c r="B31" s="2" t="str">
        <f>MID(C31,7,1)</f>
        <v>m</v>
      </c>
      <c r="C31" s="2" t="s">
        <v>69</v>
      </c>
      <c r="D31" s="2" t="s">
        <v>15</v>
      </c>
      <c r="E31" t="str">
        <f>IF(D31="sad","7",IF(D31="happy","9","8"))</f>
        <v>9</v>
      </c>
      <c r="F31" t="s">
        <v>72</v>
      </c>
      <c r="G31" s="2" t="s">
        <v>15</v>
      </c>
      <c r="H31" t="str">
        <f>IF(G31="sad","7",IF(G31="happy","9","8"))</f>
        <v>9</v>
      </c>
      <c r="I31" t="s">
        <v>22</v>
      </c>
      <c r="J31" t="str">
        <f t="shared" si="0"/>
        <v>120</v>
      </c>
      <c r="K31" t="str">
        <f t="shared" si="1"/>
        <v>150</v>
      </c>
      <c r="L31">
        <f ca="1">RAND()*(240-120)+120</f>
        <v>160.21843584572875</v>
      </c>
      <c r="M31" t="s">
        <v>26</v>
      </c>
      <c r="N31">
        <f ca="1">RAND()</f>
        <v>0.53062699246041234</v>
      </c>
    </row>
    <row r="32" spans="1:14">
      <c r="A32" s="2" t="str">
        <f>MID(C32,3,1)</f>
        <v>0</v>
      </c>
      <c r="B32" s="2" t="str">
        <f>MID(C32,7,1)</f>
        <v>f</v>
      </c>
      <c r="C32" t="s">
        <v>48</v>
      </c>
      <c r="D32" s="2" t="s">
        <v>17</v>
      </c>
      <c r="E32" t="str">
        <f>IF(D32="sad","7",IF(D32="happy","9","8"))</f>
        <v>7</v>
      </c>
      <c r="F32" t="s">
        <v>73</v>
      </c>
      <c r="G32" s="2" t="s">
        <v>15</v>
      </c>
      <c r="H32" t="str">
        <f>IF(G32="sad","7",IF(G32="happy","9","8"))</f>
        <v>9</v>
      </c>
      <c r="I32" t="s">
        <v>18</v>
      </c>
      <c r="J32" t="str">
        <f t="shared" si="0"/>
        <v>130</v>
      </c>
      <c r="K32" t="str">
        <f t="shared" si="1"/>
        <v>150</v>
      </c>
      <c r="L32">
        <f ca="1">RAND()*(240-120)+120</f>
        <v>194.75889704026395</v>
      </c>
      <c r="M32" t="s">
        <v>41</v>
      </c>
      <c r="N32">
        <f ca="1">RAND()</f>
        <v>0.15048169264614486</v>
      </c>
    </row>
    <row r="33" spans="1:14">
      <c r="A33" s="2" t="str">
        <f>MID(C33,3,1)</f>
        <v>0</v>
      </c>
      <c r="B33" s="2" t="str">
        <f>MID(C33,7,1)</f>
        <v>f</v>
      </c>
      <c r="C33" t="s">
        <v>50</v>
      </c>
      <c r="D33" s="2" t="s">
        <v>17</v>
      </c>
      <c r="E33" t="str">
        <f>IF(D33="sad","7",IF(D33="happy","9","8"))</f>
        <v>7</v>
      </c>
      <c r="F33" t="s">
        <v>74</v>
      </c>
      <c r="G33" s="2" t="s">
        <v>15</v>
      </c>
      <c r="H33" t="str">
        <f>IF(G33="sad","7",IF(G33="happy","9","8"))</f>
        <v>9</v>
      </c>
      <c r="I33" t="s">
        <v>18</v>
      </c>
      <c r="J33" t="str">
        <f t="shared" si="0"/>
        <v>130</v>
      </c>
      <c r="K33" t="str">
        <f t="shared" si="1"/>
        <v>150</v>
      </c>
      <c r="L33">
        <f ca="1">RAND()*(240-120)+120</f>
        <v>155.91374485287275</v>
      </c>
      <c r="M33" t="s">
        <v>41</v>
      </c>
      <c r="N33">
        <f ca="1">RAND()</f>
        <v>0.16446645861636877</v>
      </c>
    </row>
    <row r="34" spans="1:14">
      <c r="A34" s="2" t="str">
        <f>MID(C34,3,1)</f>
        <v>0</v>
      </c>
      <c r="B34" s="2" t="str">
        <f>MID(C34,7,1)</f>
        <v>f</v>
      </c>
      <c r="C34" t="s">
        <v>50</v>
      </c>
      <c r="D34" s="2" t="s">
        <v>17</v>
      </c>
      <c r="E34" t="str">
        <f>IF(D34="sad","7",IF(D34="happy","9","8"))</f>
        <v>7</v>
      </c>
      <c r="F34" s="2" t="s">
        <v>75</v>
      </c>
      <c r="G34" t="s">
        <v>17</v>
      </c>
      <c r="H34" t="str">
        <f>IF(G34="sad","7",IF(G34="happy","9","8"))</f>
        <v>7</v>
      </c>
      <c r="I34" t="s">
        <v>22</v>
      </c>
      <c r="J34" t="str">
        <f t="shared" si="0"/>
        <v>130</v>
      </c>
      <c r="K34" t="str">
        <f t="shared" si="1"/>
        <v>160</v>
      </c>
      <c r="L34">
        <f ca="1">RAND()*(240-120)+120</f>
        <v>215.42137537569442</v>
      </c>
      <c r="M34" t="s">
        <v>23</v>
      </c>
      <c r="N34">
        <f ca="1">RAND()</f>
        <v>0.88428209734859864</v>
      </c>
    </row>
    <row r="35" spans="1:14">
      <c r="A35" s="2" t="str">
        <f>MID(C35,3,1)</f>
        <v>3</v>
      </c>
      <c r="B35" s="2" t="str">
        <f>MID(C35,7,1)</f>
        <v>m</v>
      </c>
      <c r="C35" t="s">
        <v>76</v>
      </c>
      <c r="D35" s="2" t="s">
        <v>17</v>
      </c>
      <c r="E35" t="str">
        <f>IF(D35="sad","7",IF(D35="happy","9","8"))</f>
        <v>7</v>
      </c>
      <c r="F35" s="2" t="s">
        <v>77</v>
      </c>
      <c r="G35" t="s">
        <v>17</v>
      </c>
      <c r="H35" t="str">
        <f>IF(G35="sad","7",IF(G35="happy","9","8"))</f>
        <v>7</v>
      </c>
      <c r="I35" t="s">
        <v>22</v>
      </c>
      <c r="J35" t="str">
        <f t="shared" si="0"/>
        <v>130</v>
      </c>
      <c r="K35" t="str">
        <f t="shared" si="1"/>
        <v>160</v>
      </c>
      <c r="L35">
        <f ca="1">RAND()*(240-120)+120</f>
        <v>142.69159053364737</v>
      </c>
      <c r="M35" t="s">
        <v>23</v>
      </c>
      <c r="N35">
        <f ca="1">RAND()</f>
        <v>0.44284091899427691</v>
      </c>
    </row>
    <row r="36" spans="1:14">
      <c r="A36" s="2" t="str">
        <f>MID(C36,3,1)</f>
        <v>3</v>
      </c>
      <c r="B36" s="2" t="str">
        <f>MID(C36,7,1)</f>
        <v>m</v>
      </c>
      <c r="C36" s="2" t="s">
        <v>78</v>
      </c>
      <c r="D36" s="2" t="s">
        <v>15</v>
      </c>
      <c r="E36" t="str">
        <f>IF(D36="sad","7",IF(D36="happy","9","8"))</f>
        <v>9</v>
      </c>
      <c r="F36" s="2" t="s">
        <v>79</v>
      </c>
      <c r="G36" s="2" t="s">
        <v>15</v>
      </c>
      <c r="H36" t="str">
        <f>IF(G36="sad","7",IF(G36="happy","9","8"))</f>
        <v>9</v>
      </c>
      <c r="I36" t="s">
        <v>22</v>
      </c>
      <c r="J36" t="str">
        <f t="shared" si="0"/>
        <v>120</v>
      </c>
      <c r="K36" t="str">
        <f t="shared" si="1"/>
        <v>150</v>
      </c>
      <c r="L36">
        <f ca="1">RAND()*(240-120)+120</f>
        <v>201.49000393713663</v>
      </c>
      <c r="M36" t="s">
        <v>26</v>
      </c>
      <c r="N36">
        <f ca="1">RAND()</f>
        <v>0.14405982898014424</v>
      </c>
    </row>
    <row r="37" spans="1:14">
      <c r="A37" s="2" t="str">
        <f>MID(C37,3,1)</f>
        <v>4</v>
      </c>
      <c r="B37" s="2" t="str">
        <f>MID(C37,7,1)</f>
        <v>m</v>
      </c>
      <c r="C37" s="2" t="s">
        <v>44</v>
      </c>
      <c r="D37" s="2" t="s">
        <v>15</v>
      </c>
      <c r="E37" t="str">
        <f>IF(D37="sad","7",IF(D37="happy","9","8"))</f>
        <v>9</v>
      </c>
      <c r="F37" s="2" t="s">
        <v>80</v>
      </c>
      <c r="G37" t="s">
        <v>17</v>
      </c>
      <c r="H37" t="str">
        <f>IF(G37="sad","7",IF(G37="happy","9","8"))</f>
        <v>7</v>
      </c>
      <c r="I37" t="s">
        <v>18</v>
      </c>
      <c r="J37" t="str">
        <f t="shared" si="0"/>
        <v>120</v>
      </c>
      <c r="K37" t="str">
        <f t="shared" si="1"/>
        <v>160</v>
      </c>
      <c r="L37">
        <f ca="1">RAND()*(240-120)+120</f>
        <v>238.69826684373101</v>
      </c>
      <c r="M37" t="s">
        <v>19</v>
      </c>
      <c r="N37">
        <f ca="1">RAND()</f>
        <v>0.32170769433380908</v>
      </c>
    </row>
    <row r="38" spans="1:14">
      <c r="A38" s="2" t="str">
        <f>MID(C38,3,1)</f>
        <v>3</v>
      </c>
      <c r="B38" s="2" t="str">
        <f>MID(C38,7,1)</f>
        <v>m</v>
      </c>
      <c r="C38" s="2" t="s">
        <v>78</v>
      </c>
      <c r="D38" s="2" t="s">
        <v>15</v>
      </c>
      <c r="E38" t="str">
        <f>IF(D38="sad","7",IF(D38="happy","9","8"))</f>
        <v>9</v>
      </c>
      <c r="F38" s="2" t="s">
        <v>81</v>
      </c>
      <c r="G38" t="s">
        <v>17</v>
      </c>
      <c r="H38" t="str">
        <f>IF(G38="sad","7",IF(G38="happy","9","8"))</f>
        <v>7</v>
      </c>
      <c r="I38" t="s">
        <v>18</v>
      </c>
      <c r="J38" t="str">
        <f t="shared" si="0"/>
        <v>120</v>
      </c>
      <c r="K38" t="str">
        <f t="shared" si="1"/>
        <v>160</v>
      </c>
      <c r="L38">
        <f ca="1">RAND()*(240-120)+120</f>
        <v>179.76468107133718</v>
      </c>
      <c r="M38" t="s">
        <v>19</v>
      </c>
      <c r="N38">
        <f ca="1">RAND()</f>
        <v>0.3820084244571057</v>
      </c>
    </row>
    <row r="39" spans="1:14">
      <c r="A39" s="2" t="str">
        <f>MID(C39,3,1)</f>
        <v>4</v>
      </c>
      <c r="B39" s="2" t="str">
        <f>MID(C39,7,1)</f>
        <v>m</v>
      </c>
      <c r="C39" s="3" t="s">
        <v>44</v>
      </c>
      <c r="D39" s="2" t="s">
        <v>15</v>
      </c>
      <c r="E39" t="str">
        <f>IF(D39="sad","7",IF(D39="happy","9","8"))</f>
        <v>9</v>
      </c>
      <c r="F39" t="s">
        <v>82</v>
      </c>
      <c r="G39" s="2" t="s">
        <v>15</v>
      </c>
      <c r="H39" t="str">
        <f>IF(G39="sad","7",IF(G39="happy","9","8"))</f>
        <v>9</v>
      </c>
      <c r="I39" t="s">
        <v>22</v>
      </c>
      <c r="J39" t="str">
        <f t="shared" si="0"/>
        <v>120</v>
      </c>
      <c r="K39" t="str">
        <f t="shared" si="1"/>
        <v>150</v>
      </c>
      <c r="L39">
        <f ca="1">RAND()*(240-120)+120</f>
        <v>231.95291431929735</v>
      </c>
      <c r="M39" t="s">
        <v>26</v>
      </c>
      <c r="N39">
        <f ca="1">RAND()</f>
        <v>0.897606304695589</v>
      </c>
    </row>
    <row r="40" spans="1:14">
      <c r="A40" s="2" t="str">
        <f>MID(C40,3,1)</f>
        <v>4</v>
      </c>
      <c r="B40" s="2" t="str">
        <f>MID(C40,7,1)</f>
        <v>m</v>
      </c>
      <c r="C40" s="4" t="s">
        <v>60</v>
      </c>
      <c r="D40" s="2" t="s">
        <v>17</v>
      </c>
      <c r="E40" t="str">
        <f>IF(D40="sad","7",IF(D40="happy","9","8"))</f>
        <v>7</v>
      </c>
      <c r="F40" t="s">
        <v>83</v>
      </c>
      <c r="G40" s="2" t="s">
        <v>15</v>
      </c>
      <c r="H40" t="str">
        <f>IF(G40="sad","7",IF(G40="happy","9","8"))</f>
        <v>9</v>
      </c>
      <c r="I40" t="s">
        <v>18</v>
      </c>
      <c r="J40" t="str">
        <f t="shared" si="0"/>
        <v>130</v>
      </c>
      <c r="K40" t="str">
        <f t="shared" si="1"/>
        <v>150</v>
      </c>
      <c r="L40">
        <f ca="1">RAND()*(240-120)+120</f>
        <v>168.77583146568708</v>
      </c>
      <c r="M40" t="s">
        <v>41</v>
      </c>
      <c r="N40">
        <f ca="1">RAND()</f>
        <v>0.36667116349617301</v>
      </c>
    </row>
    <row r="41" spans="1:14">
      <c r="A41" s="2" t="str">
        <f>MID(C41,3,1)</f>
        <v>0</v>
      </c>
      <c r="B41" s="2" t="str">
        <f>MID(C41,7,1)</f>
        <v>f</v>
      </c>
      <c r="C41" t="s">
        <v>27</v>
      </c>
      <c r="D41" s="2" t="s">
        <v>15</v>
      </c>
      <c r="E41" t="str">
        <f>IF(D41="sad","7",IF(D41="happy","9","8"))</f>
        <v>9</v>
      </c>
      <c r="F41" t="s">
        <v>84</v>
      </c>
      <c r="G41" s="2" t="s">
        <v>15</v>
      </c>
      <c r="H41" t="str">
        <f>IF(G41="sad","7",IF(G41="happy","9","8"))</f>
        <v>9</v>
      </c>
      <c r="I41" t="s">
        <v>22</v>
      </c>
      <c r="J41" t="str">
        <f t="shared" si="0"/>
        <v>120</v>
      </c>
      <c r="K41" t="str">
        <f t="shared" si="1"/>
        <v>150</v>
      </c>
      <c r="L41">
        <f ca="1">RAND()*(240-120)+120</f>
        <v>238.74687268306496</v>
      </c>
      <c r="M41" t="s">
        <v>26</v>
      </c>
      <c r="N41">
        <f ca="1">RAND()</f>
        <v>0.15981328488244362</v>
      </c>
    </row>
    <row r="42" spans="1:14">
      <c r="A42" s="2" t="str">
        <f>MID(C42,3,1)</f>
        <v>2</v>
      </c>
      <c r="B42" s="2" t="str">
        <f>MID(C42,7,1)</f>
        <v>f</v>
      </c>
      <c r="C42" s="4" t="s">
        <v>33</v>
      </c>
      <c r="D42" s="2" t="s">
        <v>17</v>
      </c>
      <c r="E42" t="str">
        <f>IF(D42="sad","7",IF(D42="happy","9","8"))</f>
        <v>7</v>
      </c>
      <c r="F42" t="s">
        <v>85</v>
      </c>
      <c r="G42" s="2" t="s">
        <v>15</v>
      </c>
      <c r="H42" t="str">
        <f>IF(G42="sad","7",IF(G42="happy","9","8"))</f>
        <v>9</v>
      </c>
      <c r="I42" t="s">
        <v>18</v>
      </c>
      <c r="J42" t="str">
        <f t="shared" si="0"/>
        <v>130</v>
      </c>
      <c r="K42" t="str">
        <f t="shared" si="1"/>
        <v>150</v>
      </c>
      <c r="L42">
        <f ca="1">RAND()*(240-120)+120</f>
        <v>120.3617102212627</v>
      </c>
      <c r="M42" t="s">
        <v>41</v>
      </c>
      <c r="N42">
        <f ca="1">RAND()</f>
        <v>0.63446875808390324</v>
      </c>
    </row>
    <row r="43" spans="1:14">
      <c r="A43" s="2" t="str">
        <f>MID(C43,3,1)</f>
        <v>0</v>
      </c>
      <c r="B43" s="2" t="str">
        <f>MID(C43,7,1)</f>
        <v>f</v>
      </c>
      <c r="C43" t="s">
        <v>52</v>
      </c>
      <c r="D43" s="2" t="s">
        <v>15</v>
      </c>
      <c r="E43" t="str">
        <f>IF(D43="sad","7",IF(D43="happy","9","8"))</f>
        <v>9</v>
      </c>
      <c r="F43" t="s">
        <v>86</v>
      </c>
      <c r="G43" s="2" t="s">
        <v>15</v>
      </c>
      <c r="H43" t="str">
        <f>IF(G43="sad","7",IF(G43="happy","9","8"))</f>
        <v>9</v>
      </c>
      <c r="I43" t="s">
        <v>22</v>
      </c>
      <c r="J43" t="str">
        <f t="shared" si="0"/>
        <v>120</v>
      </c>
      <c r="K43" t="str">
        <f t="shared" si="1"/>
        <v>150</v>
      </c>
      <c r="L43">
        <f ca="1">RAND()*(240-120)+120</f>
        <v>190.34350393321284</v>
      </c>
      <c r="M43" t="s">
        <v>26</v>
      </c>
      <c r="N43">
        <f ca="1">RAND()</f>
        <v>0.65742097145008882</v>
      </c>
    </row>
    <row r="44" spans="1:14">
      <c r="A44" s="2" t="str">
        <f>MID(C44,3,1)</f>
        <v>2</v>
      </c>
      <c r="B44" s="2" t="str">
        <f>MID(C44,7,1)</f>
        <v>f</v>
      </c>
      <c r="C44" s="2" t="s">
        <v>35</v>
      </c>
      <c r="D44" s="2" t="s">
        <v>15</v>
      </c>
      <c r="E44" t="str">
        <f>IF(D44="sad","7",IF(D44="happy","9","8"))</f>
        <v>9</v>
      </c>
      <c r="F44" s="2" t="s">
        <v>87</v>
      </c>
      <c r="G44" t="s">
        <v>17</v>
      </c>
      <c r="H44" t="str">
        <f>IF(G44="sad","7",IF(G44="happy","9","8"))</f>
        <v>7</v>
      </c>
      <c r="I44" t="s">
        <v>18</v>
      </c>
      <c r="J44" t="str">
        <f t="shared" si="0"/>
        <v>120</v>
      </c>
      <c r="K44" t="str">
        <f t="shared" si="1"/>
        <v>160</v>
      </c>
      <c r="L44">
        <f ca="1">RAND()*(240-120)+120</f>
        <v>151.46203031292373</v>
      </c>
      <c r="M44" t="s">
        <v>19</v>
      </c>
      <c r="N44">
        <f ca="1">RAND()</f>
        <v>0.66929820537168749</v>
      </c>
    </row>
    <row r="45" spans="1:14">
      <c r="A45" s="2" t="str">
        <f>MID(C45,3,1)</f>
        <v>3</v>
      </c>
      <c r="B45" s="2" t="str">
        <f>MID(C45,7,1)</f>
        <v>m</v>
      </c>
      <c r="C45" t="s">
        <v>20</v>
      </c>
      <c r="D45" s="2" t="s">
        <v>17</v>
      </c>
      <c r="E45" t="str">
        <f>IF(D45="sad","7",IF(D45="happy","9","8"))</f>
        <v>7</v>
      </c>
      <c r="F45" s="2" t="s">
        <v>88</v>
      </c>
      <c r="G45" t="s">
        <v>17</v>
      </c>
      <c r="H45" t="str">
        <f>IF(G45="sad","7",IF(G45="happy","9","8"))</f>
        <v>7</v>
      </c>
      <c r="I45" t="s">
        <v>22</v>
      </c>
      <c r="J45" t="str">
        <f t="shared" si="0"/>
        <v>130</v>
      </c>
      <c r="K45" t="str">
        <f t="shared" si="1"/>
        <v>160</v>
      </c>
      <c r="L45">
        <f ca="1">RAND()*(240-120)+120</f>
        <v>126.01581428421366</v>
      </c>
      <c r="M45" t="s">
        <v>23</v>
      </c>
      <c r="N45">
        <f ca="1">RAND()</f>
        <v>0.71339992002039887</v>
      </c>
    </row>
    <row r="46" spans="1:14">
      <c r="A46" s="2" t="str">
        <f>MID(C46,3,1)</f>
        <v>7</v>
      </c>
      <c r="B46" s="2" t="str">
        <f>MID(C46,7,1)</f>
        <v>m</v>
      </c>
      <c r="C46" t="s">
        <v>46</v>
      </c>
      <c r="D46" s="2" t="s">
        <v>15</v>
      </c>
      <c r="E46" t="str">
        <f>IF(D46="sad","7",IF(D46="happy","9","8"))</f>
        <v>9</v>
      </c>
      <c r="F46" s="2" t="s">
        <v>89</v>
      </c>
      <c r="G46" t="s">
        <v>17</v>
      </c>
      <c r="H46" t="str">
        <f>IF(G46="sad","7",IF(G46="happy","9","8"))</f>
        <v>7</v>
      </c>
      <c r="I46" t="s">
        <v>18</v>
      </c>
      <c r="J46" t="str">
        <f t="shared" si="0"/>
        <v>120</v>
      </c>
      <c r="K46" t="str">
        <f t="shared" si="1"/>
        <v>160</v>
      </c>
      <c r="L46">
        <f ca="1">RAND()*(240-120)+120</f>
        <v>162.37515960586495</v>
      </c>
      <c r="M46" t="s">
        <v>19</v>
      </c>
      <c r="N46">
        <f ca="1">RAND()</f>
        <v>0.19915563468220288</v>
      </c>
    </row>
    <row r="47" spans="1:14">
      <c r="A47" s="2" t="str">
        <f>MID(C47,3,1)</f>
        <v>3</v>
      </c>
      <c r="B47" s="2" t="str">
        <f>MID(C47,7,1)</f>
        <v>m</v>
      </c>
      <c r="C47" t="s">
        <v>20</v>
      </c>
      <c r="D47" s="2" t="s">
        <v>17</v>
      </c>
      <c r="E47" t="str">
        <f>IF(D47="sad","7",IF(D47="happy","9","8"))</f>
        <v>7</v>
      </c>
      <c r="F47" t="s">
        <v>90</v>
      </c>
      <c r="G47" s="2" t="s">
        <v>15</v>
      </c>
      <c r="H47" t="str">
        <f>IF(G47="sad","7",IF(G47="happy","9","8"))</f>
        <v>9</v>
      </c>
      <c r="I47" t="s">
        <v>18</v>
      </c>
      <c r="J47" t="str">
        <f t="shared" si="0"/>
        <v>130</v>
      </c>
      <c r="K47" t="str">
        <f t="shared" si="1"/>
        <v>150</v>
      </c>
      <c r="L47">
        <f ca="1">RAND()*(240-120)+120</f>
        <v>222.35896207620843</v>
      </c>
      <c r="M47" t="s">
        <v>41</v>
      </c>
      <c r="N47">
        <f ca="1">RAND()</f>
        <v>0.79063160820909539</v>
      </c>
    </row>
    <row r="48" spans="1:14">
      <c r="A48" s="2" t="str">
        <f>MID(C48,3,1)</f>
        <v>3</v>
      </c>
      <c r="B48" s="2" t="str">
        <f>MID(C48,7,1)</f>
        <v>m</v>
      </c>
      <c r="C48" s="4" t="s">
        <v>56</v>
      </c>
      <c r="D48" s="2" t="s">
        <v>15</v>
      </c>
      <c r="E48" t="str">
        <f>IF(D48="sad","7",IF(D48="happy","9","8"))</f>
        <v>9</v>
      </c>
      <c r="F48" s="2" t="s">
        <v>91</v>
      </c>
      <c r="G48" t="s">
        <v>17</v>
      </c>
      <c r="H48" t="str">
        <f>IF(G48="sad","7",IF(G48="happy","9","8"))</f>
        <v>7</v>
      </c>
      <c r="I48" t="s">
        <v>18</v>
      </c>
      <c r="J48" t="str">
        <f t="shared" si="0"/>
        <v>120</v>
      </c>
      <c r="K48" t="str">
        <f t="shared" si="1"/>
        <v>160</v>
      </c>
      <c r="L48">
        <f ca="1">RAND()*(240-120)+120</f>
        <v>214.94116328962971</v>
      </c>
      <c r="M48" s="2" t="s">
        <v>19</v>
      </c>
      <c r="N48">
        <f ca="1">RAND()</f>
        <v>0.26178878685061624</v>
      </c>
    </row>
    <row r="49" spans="1:14">
      <c r="A49" s="2" t="str">
        <f>MID(C49,3,1)</f>
        <v>9</v>
      </c>
      <c r="B49" s="2" t="str">
        <f>MID(C49,7,1)</f>
        <v>f</v>
      </c>
      <c r="C49" s="2" t="s">
        <v>14</v>
      </c>
      <c r="D49" s="2" t="s">
        <v>15</v>
      </c>
      <c r="E49" t="str">
        <f>IF(D49="sad","7",IF(D49="happy","9","8"))</f>
        <v>9</v>
      </c>
      <c r="F49" t="s">
        <v>92</v>
      </c>
      <c r="G49" s="2" t="s">
        <v>15</v>
      </c>
      <c r="H49" t="str">
        <f>IF(G49="sad","7",IF(G49="happy","9","8"))</f>
        <v>9</v>
      </c>
      <c r="I49" t="s">
        <v>22</v>
      </c>
      <c r="J49" t="str">
        <f t="shared" si="0"/>
        <v>120</v>
      </c>
      <c r="K49" t="str">
        <f t="shared" si="1"/>
        <v>150</v>
      </c>
      <c r="L49">
        <f ca="1">RAND()*(240-120)+120</f>
        <v>175.1043222073834</v>
      </c>
      <c r="M49" t="s">
        <v>26</v>
      </c>
      <c r="N49">
        <f ca="1">RAND()</f>
        <v>0.91982819919122127</v>
      </c>
    </row>
    <row r="50" spans="1:14">
      <c r="A50" s="2" t="str">
        <f>MID(C50,3,1)</f>
        <v>2</v>
      </c>
      <c r="B50" s="2" t="str">
        <f>MID(C50,7,1)</f>
        <v>f</v>
      </c>
      <c r="C50" s="2" t="s">
        <v>35</v>
      </c>
      <c r="D50" s="2" t="s">
        <v>15</v>
      </c>
      <c r="E50" t="str">
        <f>IF(D50="sad","7",IF(D50="happy","9","8"))</f>
        <v>9</v>
      </c>
      <c r="F50" s="2" t="s">
        <v>93</v>
      </c>
      <c r="G50" s="2" t="s">
        <v>15</v>
      </c>
      <c r="H50" t="str">
        <f>IF(G50="sad","7",IF(G50="happy","9","8"))</f>
        <v>9</v>
      </c>
      <c r="I50" t="s">
        <v>22</v>
      </c>
      <c r="J50" t="str">
        <f t="shared" si="0"/>
        <v>120</v>
      </c>
      <c r="K50" t="str">
        <f t="shared" si="1"/>
        <v>150</v>
      </c>
      <c r="L50">
        <f ca="1">RAND()*(240-120)+120</f>
        <v>218.53343717439728</v>
      </c>
      <c r="M50" t="s">
        <v>26</v>
      </c>
      <c r="N50">
        <f ca="1">RAND()</f>
        <v>0.58670773932615516</v>
      </c>
    </row>
    <row r="51" spans="1:14">
      <c r="A51" s="2" t="str">
        <f>MID(C51,3,1)</f>
        <v>3</v>
      </c>
      <c r="B51" s="2" t="str">
        <f>MID(C51,7,1)</f>
        <v>m</v>
      </c>
      <c r="C51" t="s">
        <v>56</v>
      </c>
      <c r="D51" s="2" t="s">
        <v>15</v>
      </c>
      <c r="E51" t="str">
        <f>IF(D51="sad","7",IF(D51="happy","9","8"))</f>
        <v>9</v>
      </c>
      <c r="F51" t="s">
        <v>94</v>
      </c>
      <c r="G51" s="2" t="s">
        <v>15</v>
      </c>
      <c r="H51" t="str">
        <f>IF(G51="sad","7",IF(G51="happy","9","8"))</f>
        <v>9</v>
      </c>
      <c r="I51" t="s">
        <v>22</v>
      </c>
      <c r="J51" t="str">
        <f t="shared" si="0"/>
        <v>120</v>
      </c>
      <c r="K51" t="str">
        <f t="shared" si="1"/>
        <v>150</v>
      </c>
      <c r="L51">
        <f ca="1">RAND()*(240-120)+120</f>
        <v>195.73714990319064</v>
      </c>
      <c r="M51" t="s">
        <v>26</v>
      </c>
      <c r="N51">
        <f ca="1">RAND()</f>
        <v>3.8151575188175024E-2</v>
      </c>
    </row>
    <row r="52" spans="1:14">
      <c r="A52" s="2" t="str">
        <f>MID(C52,3,1)</f>
        <v>1</v>
      </c>
      <c r="B52" s="2" t="str">
        <f>MID(C52,7,1)</f>
        <v>f</v>
      </c>
      <c r="C52" t="s">
        <v>95</v>
      </c>
      <c r="D52" s="2" t="s">
        <v>17</v>
      </c>
      <c r="E52" t="str">
        <f>IF(D52="sad","7",IF(D52="happy","9","8"))</f>
        <v>7</v>
      </c>
      <c r="F52" t="s">
        <v>96</v>
      </c>
      <c r="G52" s="2" t="s">
        <v>15</v>
      </c>
      <c r="H52" t="str">
        <f>IF(G52="sad","7",IF(G52="happy","9","8"))</f>
        <v>9</v>
      </c>
      <c r="I52" t="s">
        <v>18</v>
      </c>
      <c r="J52" t="str">
        <f t="shared" si="0"/>
        <v>130</v>
      </c>
      <c r="K52" t="str">
        <f t="shared" si="1"/>
        <v>150</v>
      </c>
      <c r="L52">
        <f ca="1">RAND()*(240-120)+120</f>
        <v>120.66652427671643</v>
      </c>
      <c r="M52" t="s">
        <v>41</v>
      </c>
      <c r="N52">
        <f ca="1">RAND()</f>
        <v>0.70570428685297948</v>
      </c>
    </row>
    <row r="53" spans="1:14">
      <c r="A53" s="2" t="str">
        <f>MID(C53,3,1)</f>
        <v>4</v>
      </c>
      <c r="B53" s="2" t="str">
        <f>MID(C53,7,1)</f>
        <v>m</v>
      </c>
      <c r="C53" t="s">
        <v>60</v>
      </c>
      <c r="D53" s="2" t="s">
        <v>17</v>
      </c>
      <c r="E53" t="str">
        <f>IF(D53="sad","7",IF(D53="happy","9","8"))</f>
        <v>7</v>
      </c>
      <c r="F53" s="2" t="s">
        <v>97</v>
      </c>
      <c r="G53" t="s">
        <v>17</v>
      </c>
      <c r="H53" t="str">
        <f>IF(G53="sad","7",IF(G53="happy","9","8"))</f>
        <v>7</v>
      </c>
      <c r="I53" t="s">
        <v>22</v>
      </c>
      <c r="J53" t="str">
        <f t="shared" si="0"/>
        <v>130</v>
      </c>
      <c r="K53" t="str">
        <f t="shared" si="1"/>
        <v>160</v>
      </c>
      <c r="L53">
        <f ca="1">RAND()*(240-120)+120</f>
        <v>139.7775054694493</v>
      </c>
      <c r="M53" t="s">
        <v>23</v>
      </c>
      <c r="N53">
        <f ca="1">RAND()</f>
        <v>9.2766444423887928E-2</v>
      </c>
    </row>
    <row r="54" spans="1:14">
      <c r="A54" s="2" t="str">
        <f>MID(C54,3,1)</f>
        <v>8</v>
      </c>
      <c r="B54" s="2" t="str">
        <f>MID(C54,7,1)</f>
        <v>m</v>
      </c>
      <c r="C54" s="2" t="s">
        <v>24</v>
      </c>
      <c r="D54" s="2" t="s">
        <v>15</v>
      </c>
      <c r="E54" t="str">
        <f>IF(D54="sad","7",IF(D54="happy","9","8"))</f>
        <v>9</v>
      </c>
      <c r="F54" s="2" t="s">
        <v>98</v>
      </c>
      <c r="G54" s="2" t="s">
        <v>15</v>
      </c>
      <c r="H54" t="str">
        <f>IF(G54="sad","7",IF(G54="happy","9","8"))</f>
        <v>9</v>
      </c>
      <c r="I54" t="s">
        <v>22</v>
      </c>
      <c r="J54" t="str">
        <f t="shared" si="0"/>
        <v>120</v>
      </c>
      <c r="K54" t="str">
        <f t="shared" si="1"/>
        <v>150</v>
      </c>
      <c r="L54">
        <f ca="1">RAND()*(240-120)+120</f>
        <v>152.55690392150302</v>
      </c>
      <c r="M54" t="s">
        <v>26</v>
      </c>
      <c r="N54">
        <f ca="1">RAND()</f>
        <v>0.17802215126420473</v>
      </c>
    </row>
    <row r="55" spans="1:14">
      <c r="A55" s="2" t="str">
        <f>MID(C55,3,1)</f>
        <v>2</v>
      </c>
      <c r="B55" s="2" t="str">
        <f>MID(C55,7,1)</f>
        <v>f</v>
      </c>
      <c r="C55" t="s">
        <v>33</v>
      </c>
      <c r="D55" s="2" t="s">
        <v>17</v>
      </c>
      <c r="E55" t="str">
        <f>IF(D55="sad","7",IF(D55="happy","9","8"))</f>
        <v>7</v>
      </c>
      <c r="F55" t="s">
        <v>99</v>
      </c>
      <c r="G55" s="2" t="s">
        <v>15</v>
      </c>
      <c r="H55" t="str">
        <f>IF(G55="sad","7",IF(G55="happy","9","8"))</f>
        <v>9</v>
      </c>
      <c r="I55" t="s">
        <v>18</v>
      </c>
      <c r="J55" t="str">
        <f t="shared" si="0"/>
        <v>130</v>
      </c>
      <c r="K55" t="str">
        <f t="shared" si="1"/>
        <v>150</v>
      </c>
      <c r="L55">
        <f ca="1">RAND()*(240-120)+120</f>
        <v>199.10825531879365</v>
      </c>
      <c r="M55" t="s">
        <v>41</v>
      </c>
      <c r="N55">
        <f ca="1">RAND()</f>
        <v>0.98457450607897445</v>
      </c>
    </row>
    <row r="56" spans="1:14">
      <c r="A56" s="2" t="str">
        <f>MID(C56,3,1)</f>
        <v>9</v>
      </c>
      <c r="B56" s="2" t="str">
        <f>MID(C56,7,1)</f>
        <v>f</v>
      </c>
      <c r="C56" t="s">
        <v>42</v>
      </c>
      <c r="D56" s="2" t="s">
        <v>17</v>
      </c>
      <c r="E56" t="str">
        <f>IF(D56="sad","7",IF(D56="happy","9","8"))</f>
        <v>7</v>
      </c>
      <c r="F56" t="s">
        <v>100</v>
      </c>
      <c r="G56" s="2" t="s">
        <v>15</v>
      </c>
      <c r="H56" t="str">
        <f>IF(G56="sad","7",IF(G56="happy","9","8"))</f>
        <v>9</v>
      </c>
      <c r="I56" t="s">
        <v>18</v>
      </c>
      <c r="J56" t="str">
        <f t="shared" si="0"/>
        <v>130</v>
      </c>
      <c r="K56" t="str">
        <f t="shared" si="1"/>
        <v>150</v>
      </c>
      <c r="L56">
        <f ca="1">RAND()*(240-120)+120</f>
        <v>129.46326642759891</v>
      </c>
      <c r="M56" t="s">
        <v>41</v>
      </c>
      <c r="N56">
        <f ca="1">RAND()</f>
        <v>3.051236764542431E-2</v>
      </c>
    </row>
    <row r="57" spans="1:14">
      <c r="A57" s="2" t="str">
        <f>MID(C57,3,1)</f>
        <v>0</v>
      </c>
      <c r="B57" s="2" t="str">
        <f>MID(C57,7,1)</f>
        <v>f</v>
      </c>
      <c r="C57" s="4" t="s">
        <v>52</v>
      </c>
      <c r="D57" s="2" t="s">
        <v>15</v>
      </c>
      <c r="E57" t="str">
        <f>IF(D57="sad","7",IF(D57="happy","9","8"))</f>
        <v>9</v>
      </c>
      <c r="F57" s="2" t="s">
        <v>101</v>
      </c>
      <c r="G57" t="s">
        <v>17</v>
      </c>
      <c r="H57" t="str">
        <f>IF(G57="sad","7",IF(G57="happy","9","8"))</f>
        <v>7</v>
      </c>
      <c r="I57" t="s">
        <v>18</v>
      </c>
      <c r="J57" t="str">
        <f t="shared" si="0"/>
        <v>120</v>
      </c>
      <c r="K57" t="str">
        <f t="shared" si="1"/>
        <v>160</v>
      </c>
      <c r="L57">
        <f ca="1">RAND()*(240-120)+120</f>
        <v>225.70747639182611</v>
      </c>
      <c r="M57" t="s">
        <v>19</v>
      </c>
      <c r="N57">
        <f ca="1">RAND()</f>
        <v>0.54338786727095278</v>
      </c>
    </row>
    <row r="58" spans="1:14">
      <c r="A58" s="2" t="str">
        <f>MID(C58,3,1)</f>
        <v>0</v>
      </c>
      <c r="B58" s="2" t="str">
        <f>MID(C58,7,1)</f>
        <v>f</v>
      </c>
      <c r="C58" t="s">
        <v>27</v>
      </c>
      <c r="D58" s="2" t="s">
        <v>15</v>
      </c>
      <c r="E58" t="str">
        <f>IF(D58="sad","7",IF(D58="happy","9","8"))</f>
        <v>9</v>
      </c>
      <c r="F58" s="2" t="s">
        <v>102</v>
      </c>
      <c r="G58" t="s">
        <v>17</v>
      </c>
      <c r="H58" t="str">
        <f>IF(G58="sad","7",IF(G58="happy","9","8"))</f>
        <v>7</v>
      </c>
      <c r="I58" t="s">
        <v>18</v>
      </c>
      <c r="J58" t="str">
        <f t="shared" si="0"/>
        <v>120</v>
      </c>
      <c r="K58" t="str">
        <f t="shared" si="1"/>
        <v>160</v>
      </c>
      <c r="L58">
        <f ca="1">RAND()*(240-120)+120</f>
        <v>198.65230630749863</v>
      </c>
      <c r="M58" t="s">
        <v>19</v>
      </c>
      <c r="N58">
        <f ca="1">RAND()</f>
        <v>0.61617173656088131</v>
      </c>
    </row>
    <row r="59" spans="1:14">
      <c r="A59" s="2" t="str">
        <f>MID(C59,3,1)</f>
        <v>1</v>
      </c>
      <c r="B59" s="2" t="str">
        <f>MID(C59,7,1)</f>
        <v>f</v>
      </c>
      <c r="C59" t="s">
        <v>95</v>
      </c>
      <c r="D59" s="2" t="s">
        <v>17</v>
      </c>
      <c r="E59" t="str">
        <f>IF(D59="sad","7",IF(D59="happy","9","8"))</f>
        <v>7</v>
      </c>
      <c r="F59" s="2" t="s">
        <v>103</v>
      </c>
      <c r="G59" t="s">
        <v>17</v>
      </c>
      <c r="H59" t="str">
        <f>IF(G59="sad","7",IF(G59="happy","9","8"))</f>
        <v>7</v>
      </c>
      <c r="I59" t="s">
        <v>22</v>
      </c>
      <c r="J59" t="str">
        <f t="shared" si="0"/>
        <v>130</v>
      </c>
      <c r="K59" t="str">
        <f t="shared" si="1"/>
        <v>160</v>
      </c>
      <c r="L59">
        <f ca="1">RAND()*(240-120)+120</f>
        <v>169.15618735690765</v>
      </c>
      <c r="M59" t="s">
        <v>23</v>
      </c>
      <c r="N59">
        <f ca="1">RAND()</f>
        <v>0.39279546858442693</v>
      </c>
    </row>
    <row r="60" spans="1:14">
      <c r="A60" s="2" t="str">
        <f>MID(C60,3,1)</f>
        <v>1</v>
      </c>
      <c r="B60" s="2" t="str">
        <f>MID(C60,7,1)</f>
        <v>f</v>
      </c>
      <c r="C60" t="s">
        <v>58</v>
      </c>
      <c r="D60" s="2" t="s">
        <v>15</v>
      </c>
      <c r="E60" t="str">
        <f>IF(D60="sad","7",IF(D60="happy","9","8"))</f>
        <v>9</v>
      </c>
      <c r="F60" t="s">
        <v>104</v>
      </c>
      <c r="G60" s="2" t="s">
        <v>15</v>
      </c>
      <c r="H60" t="str">
        <f>IF(G60="sad","7",IF(G60="happy","9","8"))</f>
        <v>9</v>
      </c>
      <c r="I60" t="s">
        <v>22</v>
      </c>
      <c r="J60" t="str">
        <f t="shared" si="0"/>
        <v>120</v>
      </c>
      <c r="K60" t="str">
        <f t="shared" si="1"/>
        <v>150</v>
      </c>
      <c r="L60">
        <f ca="1">RAND()*(240-120)+120</f>
        <v>139.65598518128689</v>
      </c>
      <c r="M60" t="s">
        <v>26</v>
      </c>
      <c r="N60">
        <f ca="1">RAND()</f>
        <v>0.52113710189074869</v>
      </c>
    </row>
    <row r="61" spans="1:14">
      <c r="A61" s="2" t="str">
        <f>MID(C61,3,1)</f>
        <v>3</v>
      </c>
      <c r="B61" s="2" t="str">
        <f>MID(C61,7,1)</f>
        <v>m</v>
      </c>
      <c r="C61" t="s">
        <v>76</v>
      </c>
      <c r="D61" s="2" t="s">
        <v>17</v>
      </c>
      <c r="E61" t="str">
        <f>IF(D61="sad","7",IF(D61="happy","9","8"))</f>
        <v>7</v>
      </c>
      <c r="F61" t="s">
        <v>105</v>
      </c>
      <c r="G61" s="2" t="s">
        <v>15</v>
      </c>
      <c r="H61" t="str">
        <f>IF(G61="sad","7",IF(G61="happy","9","8"))</f>
        <v>9</v>
      </c>
      <c r="I61" t="s">
        <v>18</v>
      </c>
      <c r="J61" t="str">
        <f t="shared" si="0"/>
        <v>130</v>
      </c>
      <c r="K61" t="str">
        <f t="shared" si="1"/>
        <v>150</v>
      </c>
      <c r="L61">
        <f ca="1">RAND()*(240-120)+120</f>
        <v>140.70707143507576</v>
      </c>
      <c r="M61" t="s">
        <v>41</v>
      </c>
      <c r="N61">
        <f ca="1">RAND()</f>
        <v>0.11021124669770677</v>
      </c>
    </row>
  </sheetData>
  <autoFilter ref="A1:M61" xr:uid="{00000000-0009-0000-0000-000000000000}">
    <sortState xmlns:xlrd2="http://schemas.microsoft.com/office/spreadsheetml/2017/richdata2" ref="A2:M61">
      <sortCondition ref="M1:M61"/>
    </sortState>
  </autoFilter>
  <sortState xmlns:xlrd2="http://schemas.microsoft.com/office/spreadsheetml/2017/richdata2" ref="A2:N61">
    <sortCondition ref="N2:N61"/>
  </sortState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</dc:creator>
  <cp:keywords/>
  <dc:description/>
  <cp:lastModifiedBy>Schräder, Julia</cp:lastModifiedBy>
  <cp:revision/>
  <dcterms:created xsi:type="dcterms:W3CDTF">2021-02-16T15:50:00Z</dcterms:created>
  <dcterms:modified xsi:type="dcterms:W3CDTF">2024-04-04T08:49:02Z</dcterms:modified>
  <cp:category/>
  <cp:contentStatus/>
</cp:coreProperties>
</file>